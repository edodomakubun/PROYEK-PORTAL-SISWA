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\PROYEK PORTAL SISWA\"/>
    </mc:Choice>
  </mc:AlternateContent>
  <xr:revisionPtr revIDLastSave="0" documentId="13_ncr:1_{A782C1E5-53C6-4FD5-9432-A15E54AAD12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EKAP JUMLAH SISWA" sheetId="1" r:id="rId1"/>
    <sheet name="REKAP ALL KELAS" sheetId="2" r:id="rId2"/>
    <sheet name="KELAS 1" sheetId="3" r:id="rId3"/>
    <sheet name="KELAS 2" sheetId="4" r:id="rId4"/>
    <sheet name="KELAS 3" sheetId="5" r:id="rId5"/>
    <sheet name="KELAS 4A" sheetId="6" r:id="rId6"/>
    <sheet name="KELAS 4B" sheetId="7" r:id="rId7"/>
    <sheet name="KELAS 5" sheetId="8" r:id="rId8"/>
    <sheet name="KELAS 6" sheetId="9" r:id="rId9"/>
  </sheets>
  <definedNames>
    <definedName name="_xlnm.Print_Area" localSheetId="0">'REKAP JUMLAH SISWA'!$A$1:$J$21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E5" i="1"/>
  <c r="D5" i="1"/>
  <c r="F5" i="1"/>
  <c r="E18" i="1"/>
  <c r="D18" i="1"/>
  <c r="F18" i="1"/>
  <c r="F12" i="1"/>
  <c r="F13" i="1"/>
  <c r="F14" i="1"/>
  <c r="F15" i="1"/>
  <c r="F16" i="1"/>
  <c r="F17" i="1"/>
  <c r="F11" i="1"/>
</calcChain>
</file>

<file path=xl/sharedStrings.xml><?xml version="1.0" encoding="utf-8"?>
<sst xmlns="http://schemas.openxmlformats.org/spreadsheetml/2006/main" count="1895" uniqueCount="787">
  <si>
    <t>SD INPRES LELINGLUAN</t>
  </si>
  <si>
    <t>REKAPITULASI JUMLAH PESERTA DIDIK - TAHUN PELAJARAN 2026/2027 SEMESTER GANJIL</t>
  </si>
  <si>
    <t>TOTAL PESERTA DIDIK</t>
  </si>
  <si>
    <t>TOTAL LAKI-LAKI</t>
  </si>
  <si>
    <t>TOTAL PEREMPUAN</t>
  </si>
  <si>
    <t>TOTAL ROMBEL</t>
  </si>
  <si>
    <t>TABEL REKAPITULASI SISWA PER KELAS &amp; JENIS KELAMIN</t>
  </si>
  <si>
    <t>NO</t>
  </si>
  <si>
    <t>ROMBEL / KELAS</t>
  </si>
  <si>
    <t>LAKI-LAKI (L)</t>
  </si>
  <si>
    <t>PEREMPUAN (P)</t>
  </si>
  <si>
    <t>TOTAL SISWA</t>
  </si>
  <si>
    <t>KELAS 1</t>
  </si>
  <si>
    <t>KELAS 2</t>
  </si>
  <si>
    <t>KELAS 3</t>
  </si>
  <si>
    <t>KELAS 4A</t>
  </si>
  <si>
    <t>KELAS 4B</t>
  </si>
  <si>
    <t>KELAS 5</t>
  </si>
  <si>
    <t>KELAS 6</t>
  </si>
  <si>
    <t>TOTAL KESELURUHAN</t>
  </si>
  <si>
    <t>DOKUMEN DATA SISWA - TAHUN PELAJARAN 2026/2027 SEMESTER GANJIL</t>
  </si>
  <si>
    <t xml:space="preserve">  ROMBEL / KELAS: KELAS 1</t>
  </si>
  <si>
    <t>NIPD</t>
  </si>
  <si>
    <t>NISN</t>
  </si>
  <si>
    <t>NAMA SISWA</t>
  </si>
  <si>
    <t>TTL (TEMPAT TANGGAL LAHIR)</t>
  </si>
  <si>
    <t>NIK</t>
  </si>
  <si>
    <t>NAMA AYAH</t>
  </si>
  <si>
    <t>NAMA IBU</t>
  </si>
  <si>
    <t>262001</t>
  </si>
  <si>
    <t>-</t>
  </si>
  <si>
    <t>Aprilia Erni Reinhard</t>
  </si>
  <si>
    <t>Timika, 27 April 2020</t>
  </si>
  <si>
    <t>9109016704200002</t>
  </si>
  <si>
    <t>Ferdy A C. Reinhard</t>
  </si>
  <si>
    <t>Lusiana Novita Urath</t>
  </si>
  <si>
    <t>262002</t>
  </si>
  <si>
    <t>Arentina Theresya Saiselar</t>
  </si>
  <si>
    <t>Lelingluan, 30 Desember 2020</t>
  </si>
  <si>
    <t>8103057012200001</t>
  </si>
  <si>
    <t>Pelpianus Saiselar</t>
  </si>
  <si>
    <t>Ice Trisnawati Masrikat</t>
  </si>
  <si>
    <t>261003</t>
  </si>
  <si>
    <t>Ayres Grey Wermasubun</t>
  </si>
  <si>
    <t>Ambon, 16 Agustus 2020</t>
  </si>
  <si>
    <t>8171011608200001</t>
  </si>
  <si>
    <t>Septhuyanus Wolter Wermasubun</t>
  </si>
  <si>
    <t>Lidia Sarah Sambono</t>
  </si>
  <si>
    <t>261004</t>
  </si>
  <si>
    <t>BILLY JESSY HALURUK</t>
  </si>
  <si>
    <t>Larat, 20 Maret 2020</t>
  </si>
  <si>
    <t>8103052003200002</t>
  </si>
  <si>
    <t>BENDRIKS HALURUK</t>
  </si>
  <si>
    <t>SULCE  WESSY</t>
  </si>
  <si>
    <t>261005</t>
  </si>
  <si>
    <t>Bendiktus Elath</t>
  </si>
  <si>
    <t>Lelingluan, 26 Januari 2020</t>
  </si>
  <si>
    <t>8103052601200001</t>
  </si>
  <si>
    <t>Izak Elath</t>
  </si>
  <si>
    <t>Yosinta Ngobut</t>
  </si>
  <si>
    <t>262006</t>
  </si>
  <si>
    <t>Berlinda juliet Ibur</t>
  </si>
  <si>
    <t>Larat, 2 Juli 2020</t>
  </si>
  <si>
    <t>8103054207200001</t>
  </si>
  <si>
    <t>Jefry Ibur</t>
  </si>
  <si>
    <t>Serly Urath</t>
  </si>
  <si>
    <t>262007</t>
  </si>
  <si>
    <t>Ceyferlin Callysta Belwawin</t>
  </si>
  <si>
    <t>Saumlaki, 27 Juni 2020</t>
  </si>
  <si>
    <t>8103056706200001</t>
  </si>
  <si>
    <t>Yakob Belwawin</t>
  </si>
  <si>
    <t>Miryam Yuliyana Lololuan</t>
  </si>
  <si>
    <t>262008</t>
  </si>
  <si>
    <t>DEFTIKA MENTARI RATILA</t>
  </si>
  <si>
    <t>Lelingluan, 15 November 2020</t>
  </si>
  <si>
    <t>8103055511200002</t>
  </si>
  <si>
    <t>261009</t>
  </si>
  <si>
    <t>Lodicwillzon Elath</t>
  </si>
  <si>
    <t>Lelingluan, 13 Maret 2020</t>
  </si>
  <si>
    <t>8103051303200001</t>
  </si>
  <si>
    <t>Yunus Elath</t>
  </si>
  <si>
    <t>Theodora Masela</t>
  </si>
  <si>
    <t>262010</t>
  </si>
  <si>
    <t>MELTHINA ITRANDULAN</t>
  </si>
  <si>
    <t>Lelingluan, 25 Mei 2020</t>
  </si>
  <si>
    <t>8103086505200001</t>
  </si>
  <si>
    <t>ALBERTHUS ITRANDULAN</t>
  </si>
  <si>
    <t>NOVIANTI MASTIKAT</t>
  </si>
  <si>
    <t>262011</t>
  </si>
  <si>
    <t>Maria Kristin Kormasela</t>
  </si>
  <si>
    <t>Lelingluan, 19 Juni 2020</t>
  </si>
  <si>
    <t>8103055906200002</t>
  </si>
  <si>
    <t>Korneles Nandito Kormasela</t>
  </si>
  <si>
    <t>Fransiska Seralurin</t>
  </si>
  <si>
    <t>262012</t>
  </si>
  <si>
    <t>ONA VIA ORATMAMGUN</t>
  </si>
  <si>
    <t>waturu, 4 Agustus 2020</t>
  </si>
  <si>
    <t>8103054408200001</t>
  </si>
  <si>
    <t>DARMA DARLING ORATMANGUN</t>
  </si>
  <si>
    <t>GULYEN RUMLELY</t>
  </si>
  <si>
    <t>262013</t>
  </si>
  <si>
    <t>Rina Metaloy</t>
  </si>
  <si>
    <t>Lelingluan, 24 Mei 2020</t>
  </si>
  <si>
    <t>8103056406200001</t>
  </si>
  <si>
    <t>Silyanus Metaloy</t>
  </si>
  <si>
    <t>Paulina Ratissa</t>
  </si>
  <si>
    <t>262014</t>
  </si>
  <si>
    <t>SELPISINA LEASA</t>
  </si>
  <si>
    <t>Larat, 28 Februari 2020</t>
  </si>
  <si>
    <t>8103056802200001</t>
  </si>
  <si>
    <t>SIMSON LEASA</t>
  </si>
  <si>
    <t>ERTI YULIANA LEHA</t>
  </si>
  <si>
    <t>261015</t>
  </si>
  <si>
    <t>THIO KENZO POLIBU</t>
  </si>
  <si>
    <t>Saumlaki, 4 Oktober 2020</t>
  </si>
  <si>
    <t>8103010410200001</t>
  </si>
  <si>
    <t>VICTOOR EDYSON POLIBU</t>
  </si>
  <si>
    <t>GRESTY HAURISSA</t>
  </si>
  <si>
    <t>262016</t>
  </si>
  <si>
    <t>Yosepina Sanaty</t>
  </si>
  <si>
    <t>Saumlaki, 3 Januari 2020</t>
  </si>
  <si>
    <t>8103054301200002</t>
  </si>
  <si>
    <t>Lewi Sanaty</t>
  </si>
  <si>
    <t>Yosefina Sanaty</t>
  </si>
  <si>
    <t xml:space="preserve">  ROMBEL / KELAS: KELAS 2</t>
  </si>
  <si>
    <t>251001</t>
  </si>
  <si>
    <t>3193145920</t>
  </si>
  <si>
    <t>Adeniram Serang</t>
  </si>
  <si>
    <t>Lelingluan, 19 Februari 2019</t>
  </si>
  <si>
    <t>8103056010970004</t>
  </si>
  <si>
    <t>Agustinus Petrus Serang</t>
  </si>
  <si>
    <t>Serli Endangsari Lodarmase</t>
  </si>
  <si>
    <t>251002</t>
  </si>
  <si>
    <t>3197150936</t>
  </si>
  <si>
    <t>Agustinus Ismael Saiselar</t>
  </si>
  <si>
    <t>Lelingluan, 22 Mei 2019</t>
  </si>
  <si>
    <t>8103054305800002</t>
  </si>
  <si>
    <t>Jonisius Abraham Saiselar</t>
  </si>
  <si>
    <t>MERLIN YUDITH PAUNO</t>
  </si>
  <si>
    <t>251003</t>
  </si>
  <si>
    <t>3191641200</t>
  </si>
  <si>
    <t>Alexanders Arnaldo Masrikat</t>
  </si>
  <si>
    <t>Lelingluan, 17 September 2019</t>
  </si>
  <si>
    <t>8103055506840001</t>
  </si>
  <si>
    <t>Frans Daniel Masrikat</t>
  </si>
  <si>
    <t>Rachel Martina Refualu</t>
  </si>
  <si>
    <t>251004</t>
  </si>
  <si>
    <t>3184709189</t>
  </si>
  <si>
    <t>Brian Yosep Ongirwalu</t>
  </si>
  <si>
    <t>Lelingluan, 29 Juli 2018</t>
  </si>
  <si>
    <t>8108074504920001</t>
  </si>
  <si>
    <t>Nicolaus Ongirwalu</t>
  </si>
  <si>
    <t>Delcy Saununu</t>
  </si>
  <si>
    <t>252005</t>
  </si>
  <si>
    <t>3194896378</t>
  </si>
  <si>
    <t>Costavina Vania Batkormbawa</t>
  </si>
  <si>
    <t>Saumlaki, 9 Februari 2019</t>
  </si>
  <si>
    <t>8103055808780001</t>
  </si>
  <si>
    <t>Kalfein Slamet Batkormbawa</t>
  </si>
  <si>
    <t>Korlina Rangkoratat</t>
  </si>
  <si>
    <t>252006</t>
  </si>
  <si>
    <t>3196334109</t>
  </si>
  <si>
    <t>Dina Maselarenan Elath</t>
  </si>
  <si>
    <t>Lelingluan, 11 Maret 2019</t>
  </si>
  <si>
    <t>8103054606040001</t>
  </si>
  <si>
    <t>Petrus Elath</t>
  </si>
  <si>
    <t>Britny Susana Nifmassa</t>
  </si>
  <si>
    <t>252007</t>
  </si>
  <si>
    <t>3190790193</t>
  </si>
  <si>
    <t>Ester Filimditi</t>
  </si>
  <si>
    <t>Lelingluan, 5 Oktober 2019</t>
  </si>
  <si>
    <t>8103074107000002</t>
  </si>
  <si>
    <t>Anthony Filimditi</t>
  </si>
  <si>
    <t>Yulita Wuarlela</t>
  </si>
  <si>
    <t>252008</t>
  </si>
  <si>
    <t>3195967171</t>
  </si>
  <si>
    <t>Fania Fien Walun</t>
  </si>
  <si>
    <t>Ambon, 13 Maret 2019</t>
  </si>
  <si>
    <t>8103055109690001</t>
  </si>
  <si>
    <t>Alexander Walun</t>
  </si>
  <si>
    <t>Antoneta Raatburu</t>
  </si>
  <si>
    <t>251009</t>
  </si>
  <si>
    <t>3198839496</t>
  </si>
  <si>
    <t>Ferly Philipus Metaloy</t>
  </si>
  <si>
    <t>Larat, 25 Januari 2019</t>
  </si>
  <si>
    <t>8103055208880001</t>
  </si>
  <si>
    <t>Yudo Prakoso Metaloy</t>
  </si>
  <si>
    <t>Deriana Yobelina Titioka</t>
  </si>
  <si>
    <t>252010</t>
  </si>
  <si>
    <t>3196612806</t>
  </si>
  <si>
    <t>Henrika Kawarnidi</t>
  </si>
  <si>
    <t>Lelingluan, 10 September 2019</t>
  </si>
  <si>
    <t>8103056505980001</t>
  </si>
  <si>
    <t>Davit Kawarnidi</t>
  </si>
  <si>
    <t>Wehelmina Kormasela</t>
  </si>
  <si>
    <t>251011</t>
  </si>
  <si>
    <t>3194371687</t>
  </si>
  <si>
    <t>Herman Amarduan</t>
  </si>
  <si>
    <t>Larat, 5 Februari 2019</t>
  </si>
  <si>
    <t>8103056402960001</t>
  </si>
  <si>
    <t>Yordan Amarduan</t>
  </si>
  <si>
    <t>Florida Hayati Wessy</t>
  </si>
  <si>
    <t>251012</t>
  </si>
  <si>
    <t>3191051609</t>
  </si>
  <si>
    <t>Herry Walun</t>
  </si>
  <si>
    <t>Lelingluan, 12 Mei 2019</t>
  </si>
  <si>
    <t>8103055009810001</t>
  </si>
  <si>
    <t>Kristofol Walun</t>
  </si>
  <si>
    <t>Rahel Masela</t>
  </si>
  <si>
    <t>251013</t>
  </si>
  <si>
    <t>3199519130</t>
  </si>
  <si>
    <t>Jems Pablo Lodarmase</t>
  </si>
  <si>
    <t>Lelingluan, 13 Juli 2019</t>
  </si>
  <si>
    <t>8103055711940001</t>
  </si>
  <si>
    <t>Yordan Lodarmase</t>
  </si>
  <si>
    <t>Orpa Metiaman</t>
  </si>
  <si>
    <t>251014</t>
  </si>
  <si>
    <t>3195581229</t>
  </si>
  <si>
    <t>Joel Aprilio Metiaman</t>
  </si>
  <si>
    <t>Larat, 25 April 2019</t>
  </si>
  <si>
    <t>8103055402910004</t>
  </si>
  <si>
    <t>Leo Matias Metiaman</t>
  </si>
  <si>
    <t>Welmince Bilmaskosu</t>
  </si>
  <si>
    <t>251015</t>
  </si>
  <si>
    <t>3198109479</t>
  </si>
  <si>
    <t>Jonas Glodwyq Metiaman</t>
  </si>
  <si>
    <t>Kepulauan Tanimbar, 19 September 2019</t>
  </si>
  <si>
    <t>8171014403880005</t>
  </si>
  <si>
    <t>Aleksander Metiaman</t>
  </si>
  <si>
    <t>Yokbeth Yolina Wisye Wessy</t>
  </si>
  <si>
    <t>251016</t>
  </si>
  <si>
    <t>3198478510</t>
  </si>
  <si>
    <t>Jonathan Metiaman</t>
  </si>
  <si>
    <t>Lelingluan, 16 April 2019</t>
  </si>
  <si>
    <t>8103055109770001</t>
  </si>
  <si>
    <t>Paulus Metiaman</t>
  </si>
  <si>
    <t>Dina Metiaman</t>
  </si>
  <si>
    <t>252017</t>
  </si>
  <si>
    <t>3182529473</t>
  </si>
  <si>
    <t>Kasandra Jelia Ibur</t>
  </si>
  <si>
    <t>Lelingluan, 22 Desember 2018</t>
  </si>
  <si>
    <t>8103056608780001</t>
  </si>
  <si>
    <t>Joksan Ibur</t>
  </si>
  <si>
    <t>Alida Beljaky</t>
  </si>
  <si>
    <t>251018</t>
  </si>
  <si>
    <t>3188164255</t>
  </si>
  <si>
    <t>Lorens Urath</t>
  </si>
  <si>
    <t>Yahukimo, 7 November 2018</t>
  </si>
  <si>
    <t>Steven Urath</t>
  </si>
  <si>
    <t>Regina Ohoiwutun</t>
  </si>
  <si>
    <t>252019</t>
  </si>
  <si>
    <t>3198876120</t>
  </si>
  <si>
    <t>Margarita Shiren Raatburu</t>
  </si>
  <si>
    <t>Lelingluan, 11 Februari 2019</t>
  </si>
  <si>
    <t>8103055107660002</t>
  </si>
  <si>
    <t>Yakob Raatburu</t>
  </si>
  <si>
    <t>Yulita Somalay</t>
  </si>
  <si>
    <t>252020</t>
  </si>
  <si>
    <t>3194019342</t>
  </si>
  <si>
    <t>Maxiana Juniati Ratila</t>
  </si>
  <si>
    <t>Lelingluan, 29 Juni 2019</t>
  </si>
  <si>
    <t>8103055705900004</t>
  </si>
  <si>
    <t>Yunus Thomas Ratila</t>
  </si>
  <si>
    <t>Jois Josefina Metiaman</t>
  </si>
  <si>
    <t>252021</t>
  </si>
  <si>
    <t>3182090086</t>
  </si>
  <si>
    <t>Olifia Termutis Batlayar</t>
  </si>
  <si>
    <t>Timika, 7 November 2018</t>
  </si>
  <si>
    <t>8103066306940001</t>
  </si>
  <si>
    <t>Yustinus. TH. A.E Batlayar</t>
  </si>
  <si>
    <t>Imelda Susy Santy Lodar</t>
  </si>
  <si>
    <t>251022</t>
  </si>
  <si>
    <t>3199794236</t>
  </si>
  <si>
    <t>Petrus Maswekan Urath</t>
  </si>
  <si>
    <t>Yahukimo, 25 September 2019</t>
  </si>
  <si>
    <t>251023</t>
  </si>
  <si>
    <t>3194519197</t>
  </si>
  <si>
    <t>Petrus Rian Metiaman</t>
  </si>
  <si>
    <t>Lelingluan, 13 Maret 2019</t>
  </si>
  <si>
    <t>8103044608020002</t>
  </si>
  <si>
    <t>Alexsander Ever Benhur Metiaman</t>
  </si>
  <si>
    <t>Susanti Seralurin</t>
  </si>
  <si>
    <t>252024</t>
  </si>
  <si>
    <t>3180068970</t>
  </si>
  <si>
    <t>Ripka Batserin</t>
  </si>
  <si>
    <t>Lelingluan, 31 Desember 2018</t>
  </si>
  <si>
    <t>8103054505840001</t>
  </si>
  <si>
    <t>Apner Batserin</t>
  </si>
  <si>
    <t>Yohana Yulita Manutilaa</t>
  </si>
  <si>
    <t>252025</t>
  </si>
  <si>
    <t>3193969905</t>
  </si>
  <si>
    <t>Sipora Walun</t>
  </si>
  <si>
    <t>Lelingluan, 18 Juni 2019</t>
  </si>
  <si>
    <t>8103055205890001</t>
  </si>
  <si>
    <t>Fredik D.Walun</t>
  </si>
  <si>
    <t>Salomina Martafina Batkunda</t>
  </si>
  <si>
    <t>252026</t>
  </si>
  <si>
    <t>3193937782</t>
  </si>
  <si>
    <t>Yosina Kormasela</t>
  </si>
  <si>
    <t>Larat, 7 Februari 2019</t>
  </si>
  <si>
    <t>8103055303990001</t>
  </si>
  <si>
    <t>252027</t>
  </si>
  <si>
    <t>3198691301</t>
  </si>
  <si>
    <t>Yuliana Urath</t>
  </si>
  <si>
    <t>Larat, 9 Desember 2019</t>
  </si>
  <si>
    <t>8103054611900003</t>
  </si>
  <si>
    <t>Yanes Urath</t>
  </si>
  <si>
    <t>Elsy Baranyanan</t>
  </si>
  <si>
    <t xml:space="preserve">  ROMBEL / KELAS: KELAS 3</t>
  </si>
  <si>
    <t>241001</t>
  </si>
  <si>
    <t>3172184200</t>
  </si>
  <si>
    <t>ALEXSUS ELATH</t>
  </si>
  <si>
    <t>Lelingluan, 18 Juni 2017</t>
  </si>
  <si>
    <t>8103056910850001</t>
  </si>
  <si>
    <t>YABES ELATH</t>
  </si>
  <si>
    <t>DEVROSA RAHANKEY</t>
  </si>
  <si>
    <t>241002</t>
  </si>
  <si>
    <t>3186011412</t>
  </si>
  <si>
    <t>ALJON BOY SAISELAR</t>
  </si>
  <si>
    <t>LELINGLUAN, 25 Oktober 2018</t>
  </si>
  <si>
    <t>BARBALINA WALUN</t>
  </si>
  <si>
    <t>242003</t>
  </si>
  <si>
    <t>3188190792</t>
  </si>
  <si>
    <t>CHRISTINA URATH</t>
  </si>
  <si>
    <t>NIKI -NIKI, 29 Juli 2018</t>
  </si>
  <si>
    <t>NOFRIANTI TITI TAEK</t>
  </si>
  <si>
    <t>242004</t>
  </si>
  <si>
    <t>3181313859</t>
  </si>
  <si>
    <t>ENGGELINA SANATY</t>
  </si>
  <si>
    <t>LARAT, 24 Oktober 2018</t>
  </si>
  <si>
    <t>JULIANA MANUTILAA</t>
  </si>
  <si>
    <t>241005</t>
  </si>
  <si>
    <t>3187436597</t>
  </si>
  <si>
    <t>FROBEL ARISON ELATH</t>
  </si>
  <si>
    <t>AMBON, 4 Mei 2018</t>
  </si>
  <si>
    <t>THEODORA MASELA</t>
  </si>
  <si>
    <t>241006</t>
  </si>
  <si>
    <t>3180015300</t>
  </si>
  <si>
    <t>GREDHY YOHANES POLIBU</t>
  </si>
  <si>
    <t>SAUMLAKI, 8 April 2018</t>
  </si>
  <si>
    <t>241007</t>
  </si>
  <si>
    <t>3173322683</t>
  </si>
  <si>
    <t>Gilberth D. Resimaran</t>
  </si>
  <si>
    <t>Lelingluan, 13 September 2017</t>
  </si>
  <si>
    <t>8103056607820001</t>
  </si>
  <si>
    <t>Petrus Resimaran</t>
  </si>
  <si>
    <t>KALASINA LUTURMAS</t>
  </si>
  <si>
    <t>242008</t>
  </si>
  <si>
    <t>3172408116</t>
  </si>
  <si>
    <t>JULEHA ORATMANGUN</t>
  </si>
  <si>
    <t>LELINGLUAN, 18 Mei 2017</t>
  </si>
  <si>
    <t>MARTENCI ORATMANGUN</t>
  </si>
  <si>
    <t>241009</t>
  </si>
  <si>
    <t>3169782744</t>
  </si>
  <si>
    <t>Jusuf Nikolas Ratissa</t>
  </si>
  <si>
    <t>SAUMLAKI, 12 Mei 2016</t>
  </si>
  <si>
    <t>Naomi Londin</t>
  </si>
  <si>
    <t>241010</t>
  </si>
  <si>
    <t>3180519248</t>
  </si>
  <si>
    <t>KRISTIAN ROMAN URATH</t>
  </si>
  <si>
    <t>LELINGLUAN, 4 Maret 2018</t>
  </si>
  <si>
    <t>MARTENCI SINDENENA MASRIKAT</t>
  </si>
  <si>
    <t>242011</t>
  </si>
  <si>
    <t>3183335017</t>
  </si>
  <si>
    <t>LEVINA YOSINA RESIMANUK</t>
  </si>
  <si>
    <t>LELINGLUAN, 7 Januari 2018</t>
  </si>
  <si>
    <t>BLANDINA ORAILE</t>
  </si>
  <si>
    <t>242012</t>
  </si>
  <si>
    <t>3181766571</t>
  </si>
  <si>
    <t>LILY ANDOLIN SARUNING</t>
  </si>
  <si>
    <t>OHOIRA, 8 November 2018</t>
  </si>
  <si>
    <t>ADELHEID RENJAAN</t>
  </si>
  <si>
    <t>242013</t>
  </si>
  <si>
    <t>3175266198</t>
  </si>
  <si>
    <t>MARIA PUTRI RESIMARIN</t>
  </si>
  <si>
    <t>LELINGLUAN, 16 Juli 2017</t>
  </si>
  <si>
    <t>DOLFINA RATISSA</t>
  </si>
  <si>
    <t>242014</t>
  </si>
  <si>
    <t>3185015896</t>
  </si>
  <si>
    <t>MARTINA CHRISMENDA REINHARD</t>
  </si>
  <si>
    <t>TIMIKA, 26 Juli 2018</t>
  </si>
  <si>
    <t>LUSIANA NOVITA URATH</t>
  </si>
  <si>
    <t>241015</t>
  </si>
  <si>
    <t>3189303209</t>
  </si>
  <si>
    <t>MELKIANUS RATILA</t>
  </si>
  <si>
    <t>SAUMLAKI, 28 Mei 2018</t>
  </si>
  <si>
    <t>MARITA YONETA SAIKMATA</t>
  </si>
  <si>
    <t>242016</t>
  </si>
  <si>
    <t>3183680411</t>
  </si>
  <si>
    <t>NANCY TAMATA</t>
  </si>
  <si>
    <t>KAINARA, 31 Januari 2018</t>
  </si>
  <si>
    <t>MARYANTI PENINA SALOY</t>
  </si>
  <si>
    <t>242017</t>
  </si>
  <si>
    <t>3184186806</t>
  </si>
  <si>
    <t>NIFELIN NENI ERUBUN</t>
  </si>
  <si>
    <t>LELINGLUAN, 31 Mei 2018</t>
  </si>
  <si>
    <t>ROSANA MELABESSY</t>
  </si>
  <si>
    <t>241018</t>
  </si>
  <si>
    <t>3153531596</t>
  </si>
  <si>
    <t>ONISIMUS RATISA</t>
  </si>
  <si>
    <t>Saumlaki, 8 Desember 2015</t>
  </si>
  <si>
    <t>8103064207780001</t>
  </si>
  <si>
    <t>LASARUS RATISA</t>
  </si>
  <si>
    <t>NAOMI LONDIN</t>
  </si>
  <si>
    <t>241019</t>
  </si>
  <si>
    <t>3179996572</t>
  </si>
  <si>
    <t>PETRUS YUSUPH MATRUTY</t>
  </si>
  <si>
    <t>LELINGLUAN, 9 Maret 2017</t>
  </si>
  <si>
    <t>242020</t>
  </si>
  <si>
    <t>3182786025</t>
  </si>
  <si>
    <t>Putri Fina Yambormias</t>
  </si>
  <si>
    <t>LELINGLUAN, 11 Maret 2018</t>
  </si>
  <si>
    <t>Wehelmina Manutilaa</t>
  </si>
  <si>
    <t>242021</t>
  </si>
  <si>
    <t>3174030417</t>
  </si>
  <si>
    <t>Rosalia Metaloy</t>
  </si>
  <si>
    <t>Lelingluan, 21 November 2017</t>
  </si>
  <si>
    <t>8103066207990001</t>
  </si>
  <si>
    <t>242022</t>
  </si>
  <si>
    <t>3188762046</t>
  </si>
  <si>
    <t>SARAH FILIMDITI</t>
  </si>
  <si>
    <t>LELINGLUAN, 11 Desember 2018</t>
  </si>
  <si>
    <t>ANGGANITA ORATMANGUN</t>
  </si>
  <si>
    <t>242023</t>
  </si>
  <si>
    <t>3181731973</t>
  </si>
  <si>
    <t>TITI JESIKA ELATH</t>
  </si>
  <si>
    <t>LELINGLUAN, 2 Februari 2018</t>
  </si>
  <si>
    <t xml:space="preserve">  ROMBEL / KELAS: KELAS 4A</t>
  </si>
  <si>
    <t>231001</t>
  </si>
  <si>
    <t>3171914497</t>
  </si>
  <si>
    <t>Aliando Mesak Hendra Walun</t>
  </si>
  <si>
    <t>Arma, 21 Juni 2017</t>
  </si>
  <si>
    <t>8103090912940002</t>
  </si>
  <si>
    <t>Menase Walun</t>
  </si>
  <si>
    <t>Merap Jambormias</t>
  </si>
  <si>
    <t>231002</t>
  </si>
  <si>
    <t>3161577169</t>
  </si>
  <si>
    <t>Alvaro Gavrielly Anandito Susu</t>
  </si>
  <si>
    <t>BATAM, 26 September 2016</t>
  </si>
  <si>
    <t>Jomima Ratissa</t>
  </si>
  <si>
    <t>231003</t>
  </si>
  <si>
    <t>3168832435</t>
  </si>
  <si>
    <t>Denies Metanfanuan</t>
  </si>
  <si>
    <t>Lelingluan, 3 Desember 2016</t>
  </si>
  <si>
    <t>8103055808780002</t>
  </si>
  <si>
    <t>Negara Metanfanuan</t>
  </si>
  <si>
    <t>Adonia Lalin</t>
  </si>
  <si>
    <t>231004</t>
  </si>
  <si>
    <t>3179925848</t>
  </si>
  <si>
    <t>ELISA ELYANDO AMARDUAN</t>
  </si>
  <si>
    <t>BENJINA, 8 Februari 2017</t>
  </si>
  <si>
    <t>8103056402960002</t>
  </si>
  <si>
    <t>YORDAN AMARDUAN</t>
  </si>
  <si>
    <t>FLORIDA HAYATI WESSY</t>
  </si>
  <si>
    <t>231005</t>
  </si>
  <si>
    <t>3170974829</t>
  </si>
  <si>
    <t>Enos Dodie Lololuan</t>
  </si>
  <si>
    <t>Lelingluan, 15 Desember 2017</t>
  </si>
  <si>
    <t>8103054808790001</t>
  </si>
  <si>
    <t>Daniel Lololuan</t>
  </si>
  <si>
    <t>Welmince Rahakbau</t>
  </si>
  <si>
    <t>232006</t>
  </si>
  <si>
    <t>3173033493</t>
  </si>
  <si>
    <t>GABRIELA MIEN WALUN</t>
  </si>
  <si>
    <t>SAUMLAKI, 27 Maret 2017</t>
  </si>
  <si>
    <t>8103056903940002</t>
  </si>
  <si>
    <t>BRUCE BRENS WALUN</t>
  </si>
  <si>
    <t>KAROLINA BELYAKY</t>
  </si>
  <si>
    <t>232007</t>
  </si>
  <si>
    <t>3173819560</t>
  </si>
  <si>
    <t>Imel Marsya Kawarnidi</t>
  </si>
  <si>
    <t>Lelingluan, 17 Mei 2017</t>
  </si>
  <si>
    <t>Dafid Kawardini</t>
  </si>
  <si>
    <t>WEHELMINA KORMASELA</t>
  </si>
  <si>
    <t>232008</t>
  </si>
  <si>
    <t>3169334238</t>
  </si>
  <si>
    <t>LEONORA REVA TAMATA</t>
  </si>
  <si>
    <t>LELINGLUAN, 21 Juni 2016</t>
  </si>
  <si>
    <t>Barbara Weridity</t>
  </si>
  <si>
    <t>232009</t>
  </si>
  <si>
    <t>3169900555</t>
  </si>
  <si>
    <t>Naomi Wewu</t>
  </si>
  <si>
    <t>Lelingluan, 16 Juli 2016</t>
  </si>
  <si>
    <t>8103055004880003</t>
  </si>
  <si>
    <t>Samuel Wewu</t>
  </si>
  <si>
    <t>Dina Diana Yambormias</t>
  </si>
  <si>
    <t>231010</t>
  </si>
  <si>
    <t>3169799936</t>
  </si>
  <si>
    <t>Nikolas Ratissa</t>
  </si>
  <si>
    <t>Lelingluan, 25 Desember 2016</t>
  </si>
  <si>
    <t>Rein Reson Ratissa</t>
  </si>
  <si>
    <t>Theresia Manutilaa</t>
  </si>
  <si>
    <t>231011</t>
  </si>
  <si>
    <t>3173886291</t>
  </si>
  <si>
    <t>PAULUS ANDERSON YAMBORMIAS</t>
  </si>
  <si>
    <t>LELINGLUAN, 16 November 2017</t>
  </si>
  <si>
    <t>8103054407900002</t>
  </si>
  <si>
    <t>HENRIKUS YAMBORMIAS</t>
  </si>
  <si>
    <t>SANCE WERMASUBUN</t>
  </si>
  <si>
    <t>232012</t>
  </si>
  <si>
    <t>3170575891</t>
  </si>
  <si>
    <t>Sintia Vilona Kormasela</t>
  </si>
  <si>
    <t>Lelingluan, 30 Juni 2017</t>
  </si>
  <si>
    <t>8103055612870001</t>
  </si>
  <si>
    <t>Jefri Kormasela</t>
  </si>
  <si>
    <t>Desiana Hukunala</t>
  </si>
  <si>
    <t>231013</t>
  </si>
  <si>
    <t>3173397347</t>
  </si>
  <si>
    <t>YAMBRES SABONO</t>
  </si>
  <si>
    <t>LELINGLUAN, 16 September 2017</t>
  </si>
  <si>
    <t>MESKE TAMATA</t>
  </si>
  <si>
    <t>232014</t>
  </si>
  <si>
    <t>3175025632</t>
  </si>
  <si>
    <t>YULIANA ELATH</t>
  </si>
  <si>
    <t>LAMDESAR TIMUR, 12 Mei 2017</t>
  </si>
  <si>
    <t>8103054107990004</t>
  </si>
  <si>
    <t>NELSON ELATH</t>
  </si>
  <si>
    <t>YOSEFA NGOBUT</t>
  </si>
  <si>
    <t>232015</t>
  </si>
  <si>
    <t>3170907334</t>
  </si>
  <si>
    <t>Yermina Nesya Saiselar</t>
  </si>
  <si>
    <t>Lelingluan, 17 Agustus 2017</t>
  </si>
  <si>
    <t>8103054605800005</t>
  </si>
  <si>
    <t>Hengki Saiselar</t>
  </si>
  <si>
    <t>AMELIA MARIA SINGERIN</t>
  </si>
  <si>
    <t>232016</t>
  </si>
  <si>
    <t>3171631659</t>
  </si>
  <si>
    <t>Yos Gloria Urath</t>
  </si>
  <si>
    <t>Lelingluan, 1 April 2017</t>
  </si>
  <si>
    <t>8103056711870001</t>
  </si>
  <si>
    <t>Samuel Urath</t>
  </si>
  <si>
    <t>Nova Naraha</t>
  </si>
  <si>
    <t xml:space="preserve">  ROMBEL / KELAS: KELAS 4B</t>
  </si>
  <si>
    <t>231017</t>
  </si>
  <si>
    <t>3178219771</t>
  </si>
  <si>
    <t>Albertus Romi Sanaty</t>
  </si>
  <si>
    <t>ROMEAN, 12 April 2017</t>
  </si>
  <si>
    <t>8103064608020001</t>
  </si>
  <si>
    <t>Yustus Titioka Sanaty</t>
  </si>
  <si>
    <t>Antina Talutu</t>
  </si>
  <si>
    <t>232018</t>
  </si>
  <si>
    <t>3179706598</t>
  </si>
  <si>
    <t>Alisya Norisa Wununara</t>
  </si>
  <si>
    <t>Lelingluan, 25 Agustus 2017</t>
  </si>
  <si>
    <t>8103055002910001</t>
  </si>
  <si>
    <t>Anat Nang Wununara</t>
  </si>
  <si>
    <t>Penina Walun</t>
  </si>
  <si>
    <t>232019</t>
  </si>
  <si>
    <t>3176401731</t>
  </si>
  <si>
    <t>Clara Martha Resimaran</t>
  </si>
  <si>
    <t>Lelingluan, 27 November 2017</t>
  </si>
  <si>
    <t>8103055808840001</t>
  </si>
  <si>
    <t>Jony Resimaran</t>
  </si>
  <si>
    <t>Hulda Metaloy</t>
  </si>
  <si>
    <t>231020</t>
  </si>
  <si>
    <t>3184928267</t>
  </si>
  <si>
    <t>EKARDO F.KAFROLY</t>
  </si>
  <si>
    <t>LARAT, 15 Mei 2018</t>
  </si>
  <si>
    <t>LUDIA METALOY</t>
  </si>
  <si>
    <t>232021</t>
  </si>
  <si>
    <t>3170770806</t>
  </si>
  <si>
    <t>Enjel Erna Rena Urath</t>
  </si>
  <si>
    <t>Lelingluan, 11 April 2017</t>
  </si>
  <si>
    <t>8103027101970002</t>
  </si>
  <si>
    <t>Yoel Oktafyo Urath</t>
  </si>
  <si>
    <t>Martenci Sindenena Masrikat</t>
  </si>
  <si>
    <t>231022</t>
  </si>
  <si>
    <t>3176532029</t>
  </si>
  <si>
    <t>Gabriel Serang</t>
  </si>
  <si>
    <t>Lelingluan, 3 April 2017</t>
  </si>
  <si>
    <t>232023</t>
  </si>
  <si>
    <t>3171631256</t>
  </si>
  <si>
    <t>IMANUEL GASPAR ELATH</t>
  </si>
  <si>
    <t>LELINGLUAN, 27 April 2017</t>
  </si>
  <si>
    <t>8103054906120001</t>
  </si>
  <si>
    <t>IZAK ELATH</t>
  </si>
  <si>
    <t>231024</t>
  </si>
  <si>
    <t>3174044996</t>
  </si>
  <si>
    <t>KAKA DIERESTA SOMALAY</t>
  </si>
  <si>
    <t>LELINGLUAN, 2 Juli 2017</t>
  </si>
  <si>
    <t>8103055102820001</t>
  </si>
  <si>
    <t>KRISTIAN SOMALAY</t>
  </si>
  <si>
    <t>BERTHA RANGKOW</t>
  </si>
  <si>
    <t>232025</t>
  </si>
  <si>
    <t>3169536073</t>
  </si>
  <si>
    <t>Lourens Matruty</t>
  </si>
  <si>
    <t>Lelingluan, 21 Januari 2016</t>
  </si>
  <si>
    <t>8103054208910001</t>
  </si>
  <si>
    <t>Frangki Matruty</t>
  </si>
  <si>
    <t>DERINA MATRUTY</t>
  </si>
  <si>
    <t>232026</t>
  </si>
  <si>
    <t>3179449724</t>
  </si>
  <si>
    <t>Nelci Urath</t>
  </si>
  <si>
    <t>Lelingluan, 9 Juni 2017</t>
  </si>
  <si>
    <t>8103055006850001</t>
  </si>
  <si>
    <t>Fiktor Urath</t>
  </si>
  <si>
    <t>Salomina Martha Tamata</t>
  </si>
  <si>
    <t>231027</t>
  </si>
  <si>
    <t>3164956087</t>
  </si>
  <si>
    <t>Nikolas Yunus Ibur</t>
  </si>
  <si>
    <t>Lelingluan, 27 Juni 2016</t>
  </si>
  <si>
    <t>8103056408940002</t>
  </si>
  <si>
    <t>Yansen Ibur</t>
  </si>
  <si>
    <t>ROSA DELIMA MATRUTY</t>
  </si>
  <si>
    <t>231028</t>
  </si>
  <si>
    <t>3171583318</t>
  </si>
  <si>
    <t>RENO THECALNO MASRIAT</t>
  </si>
  <si>
    <t>SAUMLAKI, 14 November 2017</t>
  </si>
  <si>
    <t>8103012002990001</t>
  </si>
  <si>
    <t>RAFAEL SALEMBUN</t>
  </si>
  <si>
    <t>NELVIN MASRIAT</t>
  </si>
  <si>
    <t>231029</t>
  </si>
  <si>
    <t>3161902257</t>
  </si>
  <si>
    <t>Welson Metaloy</t>
  </si>
  <si>
    <t>Lelingluan, 18 Juli 2016</t>
  </si>
  <si>
    <t>8103056010920002</t>
  </si>
  <si>
    <t>Yulyanus Metaloy</t>
  </si>
  <si>
    <t>Maryam Wuarlela</t>
  </si>
  <si>
    <t>231030</t>
  </si>
  <si>
    <t>3169032095</t>
  </si>
  <si>
    <t>YANCE ANDITO RESIMARAN</t>
  </si>
  <si>
    <t>Lelingluan, 16 November 2016</t>
  </si>
  <si>
    <t>8103056006860001</t>
  </si>
  <si>
    <t>Yusup Resimaran</t>
  </si>
  <si>
    <t>ARYATI MELTIDA LAIYAN</t>
  </si>
  <si>
    <t>232031</t>
  </si>
  <si>
    <t>3172634029</t>
  </si>
  <si>
    <t>YOHANA RATILA</t>
  </si>
  <si>
    <t>LELINGLUAN, 26 Maret 2017</t>
  </si>
  <si>
    <t>8103056401910001</t>
  </si>
  <si>
    <t>ERWIN RATILA</t>
  </si>
  <si>
    <t xml:space="preserve">  ROMBEL / KELAS: KELAS 5</t>
  </si>
  <si>
    <t>222001</t>
  </si>
  <si>
    <t>3160302602</t>
  </si>
  <si>
    <t>Bunga Meitty Reinhard</t>
  </si>
  <si>
    <t>TUAL, 11 Juni 2016</t>
  </si>
  <si>
    <t>221002</t>
  </si>
  <si>
    <t>3167276036</t>
  </si>
  <si>
    <t>Dani Yusup Titirloloby</t>
  </si>
  <si>
    <t>LELINGLUAN, 30 Maret 2016</t>
  </si>
  <si>
    <t>8102094408900001</t>
  </si>
  <si>
    <t>RIKARLY TITIRLOLOBY</t>
  </si>
  <si>
    <t>DORCI MODESTA OHOILULIN</t>
  </si>
  <si>
    <t>221003</t>
  </si>
  <si>
    <t>3163791368</t>
  </si>
  <si>
    <t>Geraldo R. Lambiombir</t>
  </si>
  <si>
    <t>Lelingluan, 26 Maret 2016</t>
  </si>
  <si>
    <t>8103055305640001</t>
  </si>
  <si>
    <t>Daniel Lambiombir</t>
  </si>
  <si>
    <t>RAHEL YULITA RATILA</t>
  </si>
  <si>
    <t>221004</t>
  </si>
  <si>
    <t>3168487252</t>
  </si>
  <si>
    <t>Hendrik Belyaky</t>
  </si>
  <si>
    <t>Lelingluan, 24 April 2016</t>
  </si>
  <si>
    <t>8103055808870002</t>
  </si>
  <si>
    <t>Dandels Beljaky</t>
  </si>
  <si>
    <t>Kristina Saiselar</t>
  </si>
  <si>
    <t>221005</t>
  </si>
  <si>
    <t>3169337505</t>
  </si>
  <si>
    <t>Henrik Saiselar</t>
  </si>
  <si>
    <t>Lelingluan, 24 Maret 2016</t>
  </si>
  <si>
    <t>8103054305900002</t>
  </si>
  <si>
    <t>Merlin Yudith Pauno</t>
  </si>
  <si>
    <t>221006</t>
  </si>
  <si>
    <t>3175046545</t>
  </si>
  <si>
    <t>IGNATIUS MASMASIHIN SAISELAR</t>
  </si>
  <si>
    <t>Lelingluan, 5 November 2016</t>
  </si>
  <si>
    <t>8103054111910003</t>
  </si>
  <si>
    <t>ROKY NIKODEMUS SAISELAR</t>
  </si>
  <si>
    <t>Barbalina Walun</t>
  </si>
  <si>
    <t>221007</t>
  </si>
  <si>
    <t>3166636531</t>
  </si>
  <si>
    <t>Nimbrot Putra Mosse</t>
  </si>
  <si>
    <t>Larat, 5 Oktober 2016</t>
  </si>
  <si>
    <t>8103056008960001</t>
  </si>
  <si>
    <t>Yulius Mosse</t>
  </si>
  <si>
    <t>Marthina Waturu</t>
  </si>
  <si>
    <t>222008</t>
  </si>
  <si>
    <t>3168896968</t>
  </si>
  <si>
    <t>Sarlina Fika Resimaran</t>
  </si>
  <si>
    <t>Lelingluan, 13 April 2016</t>
  </si>
  <si>
    <t>8103055007870001</t>
  </si>
  <si>
    <t>Jakop Josep Resimaran</t>
  </si>
  <si>
    <t>Dolfina Ratissa</t>
  </si>
  <si>
    <t>221009</t>
  </si>
  <si>
    <t>3161601326</t>
  </si>
  <si>
    <t>YOHANES YAMBORMIAS</t>
  </si>
  <si>
    <t>LELINGLUAN, 30 April 2016</t>
  </si>
  <si>
    <t>222010</t>
  </si>
  <si>
    <t>3156831507</t>
  </si>
  <si>
    <t>YOSINA ANACI NARMO</t>
  </si>
  <si>
    <t>TUAL, 2 Juli 2015</t>
  </si>
  <si>
    <t>8103056404780001</t>
  </si>
  <si>
    <t>YONAS NARMO</t>
  </si>
  <si>
    <t>SUSANA NARMO</t>
  </si>
  <si>
    <t xml:space="preserve">  ROMBEL / KELAS: KELAS 6</t>
  </si>
  <si>
    <t>211001</t>
  </si>
  <si>
    <t>3158593344</t>
  </si>
  <si>
    <t>ANDI BELWAWIN</t>
  </si>
  <si>
    <t>Lelingluan, 16 Mei 2015</t>
  </si>
  <si>
    <t>WISYE REFWALU</t>
  </si>
  <si>
    <t>212002</t>
  </si>
  <si>
    <t>3144118517</t>
  </si>
  <si>
    <t>DINCE SABONO</t>
  </si>
  <si>
    <t>Lelingluan, 30 November 2014</t>
  </si>
  <si>
    <t>211003</t>
  </si>
  <si>
    <t>3155061182</t>
  </si>
  <si>
    <t>DOMINGGUS GONTY BELJAKY</t>
  </si>
  <si>
    <t>Lelingluan, 24 Juli 2015</t>
  </si>
  <si>
    <t>Naomi Hayer</t>
  </si>
  <si>
    <t>211004</t>
  </si>
  <si>
    <t>3145944148</t>
  </si>
  <si>
    <t>Dandri Metiaman</t>
  </si>
  <si>
    <t>Lelingluan, 19 September 2014</t>
  </si>
  <si>
    <t>211005</t>
  </si>
  <si>
    <t>3158025494</t>
  </si>
  <si>
    <t>Frets Resimaran</t>
  </si>
  <si>
    <t>Lelingluan, 16 Juni 2015</t>
  </si>
  <si>
    <t>Kalasina Luturmas</t>
  </si>
  <si>
    <t>212006</t>
  </si>
  <si>
    <t>3139291788</t>
  </si>
  <si>
    <t>LOISA TABITA TAMATA</t>
  </si>
  <si>
    <t>KAINARA, 20 Agustus 2014</t>
  </si>
  <si>
    <t>8103054103940002</t>
  </si>
  <si>
    <t>Alex Tamata</t>
  </si>
  <si>
    <t>212007</t>
  </si>
  <si>
    <t>3158481861</t>
  </si>
  <si>
    <t>Livia Lorina  Itrandulan</t>
  </si>
  <si>
    <t>Lelingluan, 5 September 2015</t>
  </si>
  <si>
    <t>NOVIANTI MASRIKAT</t>
  </si>
  <si>
    <t>212008</t>
  </si>
  <si>
    <t>3151407894</t>
  </si>
  <si>
    <t>MARLENI MASRIKAT</t>
  </si>
  <si>
    <t>Lelingluan, 24 Februari 2015</t>
  </si>
  <si>
    <t>FEBIOLA FILIMDITI</t>
  </si>
  <si>
    <t>212009</t>
  </si>
  <si>
    <t>3156753602</t>
  </si>
  <si>
    <t>NATALIA SELVI WALUN</t>
  </si>
  <si>
    <t>Larat, 25 Desember 2015</t>
  </si>
  <si>
    <t>211010</t>
  </si>
  <si>
    <t>3141382009</t>
  </si>
  <si>
    <t>NIKOLAS ANGORMAS</t>
  </si>
  <si>
    <t>Lelingluan, 12 Januari 2016</t>
  </si>
  <si>
    <t>HERLINCE LEMAN</t>
  </si>
  <si>
    <t>211011</t>
  </si>
  <si>
    <t>3147967708</t>
  </si>
  <si>
    <t>RESHA FRANGKY WUNUNARA</t>
  </si>
  <si>
    <t>Seira, 28 Maret 2014</t>
  </si>
  <si>
    <t>PENINA WALUN</t>
  </si>
  <si>
    <t>211012</t>
  </si>
  <si>
    <t>3157308734</t>
  </si>
  <si>
    <t>SARLY YOSIAS SANATY</t>
  </si>
  <si>
    <t>Lelingluan, 15 Oktober 2015</t>
  </si>
  <si>
    <t>BATSEBA NIFMASA</t>
  </si>
  <si>
    <t>212013</t>
  </si>
  <si>
    <t>3158215801</t>
  </si>
  <si>
    <t>SELVI KORMASELA</t>
  </si>
  <si>
    <t>LELINGLUAN, 19 Mei 2015</t>
  </si>
  <si>
    <t>8103057005790001</t>
  </si>
  <si>
    <t>SIMRAM KORMASELA</t>
  </si>
  <si>
    <t>IMELDA LAMERE</t>
  </si>
  <si>
    <t>211014</t>
  </si>
  <si>
    <t>3144337216</t>
  </si>
  <si>
    <t>Soferet Domakubun</t>
  </si>
  <si>
    <t>Lelingluan, 15 November 2014</t>
  </si>
  <si>
    <t>8103056505790001</t>
  </si>
  <si>
    <t>Petrus Domakubun</t>
  </si>
  <si>
    <t>Lenora Domakubun</t>
  </si>
  <si>
    <t>211015</t>
  </si>
  <si>
    <t>0153538211</t>
  </si>
  <si>
    <t>Soferet Jofan Wuarlela</t>
  </si>
  <si>
    <t>Lelingluan, 21 Maret 2015</t>
  </si>
  <si>
    <t>8103054108840002</t>
  </si>
  <si>
    <t>Naheson Wuarlela</t>
  </si>
  <si>
    <t>Leni Fransina Walun</t>
  </si>
  <si>
    <t>211016</t>
  </si>
  <si>
    <t>3143229644</t>
  </si>
  <si>
    <t>YAKOBUS KAREL BATKUNDA</t>
  </si>
  <si>
    <t>Lelingluan, 25 Oktober 2014</t>
  </si>
  <si>
    <t>8103054810830002</t>
  </si>
  <si>
    <t>Yakonias Batkunda</t>
  </si>
  <si>
    <t>Karolina Angormas</t>
  </si>
  <si>
    <t>212017</t>
  </si>
  <si>
    <t>3149098853</t>
  </si>
  <si>
    <t>YESI BATKUNDA</t>
  </si>
  <si>
    <t>DEFRANGKO RATILA</t>
  </si>
  <si>
    <t>NOVITA ITRANDULAN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</si>
</sst>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0F2C59"/>
      <name val="Arial"/>
    </font>
    <font>
      <b/>
      <sz val="11"/>
      <color rgb="FF333333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555555"/>
      <name val="Arial"/>
    </font>
    <font>
      <b/>
      <sz val="16"/>
      <color rgb="FF0F2C59"/>
      <name val="Arial"/>
    </font>
    <font>
      <b/>
      <sz val="11"/>
      <color rgb="FF0F2C59"/>
      <name val="Arial"/>
    </font>
    <font>
      <b/>
      <sz val="10"/>
      <color rgb="FF0F2C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F2C59"/>
        <bgColor rgb="FF0F2C59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F2C59"/>
      </top>
      <bottom style="double">
        <color rgb="FF0F2C59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rgb="FF0F2C59"/>
      </top>
      <bottom style="double">
        <color rgb="FF0F2C5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0F2C59"/>
      </top>
      <bottom style="double">
        <color rgb="FF0F2C5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5" borderId="1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8"/>
  <sheetViews>
    <sheetView zoomScaleNormal="100" workbookViewId="0">
      <selection activeCell="B24" sqref="B24"/>
    </sheetView>
  </sheetViews>
  <sheetFormatPr defaultRowHeight="15" x14ac:dyDescent="0.25"/>
  <cols>
    <col min="1" max="1" width="3" customWidth="1"/>
    <col min="2" max="2" width="6" customWidth="1"/>
    <col min="3" max="3" width="20" customWidth="1"/>
    <col min="4" max="5" width="16" customWidth="1"/>
    <col min="6" max="6" width="14.140625" bestFit="1" customWidth="1"/>
    <col min="7" max="7" width="18" customWidth="1"/>
  </cols>
  <sheetData>
    <row r="1" spans="2:7" ht="18" x14ac:dyDescent="0.25">
      <c r="B1" s="1" t="s">
        <v>0</v>
      </c>
    </row>
    <row r="2" spans="2:7" x14ac:dyDescent="0.25">
      <c r="B2" s="2" t="s">
        <v>1</v>
      </c>
    </row>
    <row r="4" spans="2:7" ht="24" x14ac:dyDescent="0.25">
      <c r="B4" s="26" t="s">
        <v>2</v>
      </c>
      <c r="C4" s="27"/>
      <c r="D4" s="3" t="s">
        <v>3</v>
      </c>
      <c r="E4" s="3" t="s">
        <v>4</v>
      </c>
      <c r="F4" s="26" t="s">
        <v>5</v>
      </c>
      <c r="G4" s="27"/>
    </row>
    <row r="5" spans="2:7" ht="24" customHeight="1" x14ac:dyDescent="0.25">
      <c r="B5" s="28">
        <f>F18</f>
        <v>124</v>
      </c>
      <c r="C5" s="27"/>
      <c r="D5" s="4">
        <f>D18</f>
        <v>62</v>
      </c>
      <c r="E5" s="4">
        <f>E18</f>
        <v>62</v>
      </c>
      <c r="F5" s="28">
        <f>COUNTA(B11:B17)</f>
        <v>7</v>
      </c>
      <c r="G5" s="27"/>
    </row>
    <row r="8" spans="2:7" x14ac:dyDescent="0.25">
      <c r="B8" s="5" t="s">
        <v>6</v>
      </c>
    </row>
    <row r="10" spans="2:7" ht="26.1" customHeight="1" x14ac:dyDescent="0.25">
      <c r="B10" s="21" t="s">
        <v>7</v>
      </c>
      <c r="C10" s="6" t="s">
        <v>8</v>
      </c>
      <c r="D10" s="6" t="s">
        <v>9</v>
      </c>
      <c r="E10" s="6" t="s">
        <v>10</v>
      </c>
      <c r="F10" s="17" t="s">
        <v>11</v>
      </c>
      <c r="G10" s="14"/>
    </row>
    <row r="11" spans="2:7" ht="21.95" customHeight="1" x14ac:dyDescent="0.25">
      <c r="B11" s="22">
        <v>1</v>
      </c>
      <c r="C11" s="8" t="s">
        <v>12</v>
      </c>
      <c r="D11" s="7">
        <v>5</v>
      </c>
      <c r="E11" s="7">
        <v>11</v>
      </c>
      <c r="F11" s="18">
        <f>D11+E11</f>
        <v>16</v>
      </c>
      <c r="G11" s="15"/>
    </row>
    <row r="12" spans="2:7" ht="21.95" customHeight="1" x14ac:dyDescent="0.25">
      <c r="B12" s="23">
        <v>2</v>
      </c>
      <c r="C12" s="10" t="s">
        <v>13</v>
      </c>
      <c r="D12" s="9">
        <v>14</v>
      </c>
      <c r="E12" s="9">
        <v>13</v>
      </c>
      <c r="F12" s="19">
        <f t="shared" ref="F12:F17" si="0">D12+E12</f>
        <v>27</v>
      </c>
      <c r="G12" s="15"/>
    </row>
    <row r="13" spans="2:7" ht="21.95" customHeight="1" x14ac:dyDescent="0.25">
      <c r="B13" s="22">
        <v>3</v>
      </c>
      <c r="C13" s="8" t="s">
        <v>14</v>
      </c>
      <c r="D13" s="7">
        <v>10</v>
      </c>
      <c r="E13" s="7">
        <v>13</v>
      </c>
      <c r="F13" s="18">
        <f t="shared" si="0"/>
        <v>23</v>
      </c>
      <c r="G13" s="15"/>
    </row>
    <row r="14" spans="2:7" ht="21.95" customHeight="1" x14ac:dyDescent="0.25">
      <c r="B14" s="23">
        <v>4</v>
      </c>
      <c r="C14" s="10" t="s">
        <v>15</v>
      </c>
      <c r="D14" s="9">
        <v>8</v>
      </c>
      <c r="E14" s="9">
        <v>8</v>
      </c>
      <c r="F14" s="19">
        <f t="shared" si="0"/>
        <v>16</v>
      </c>
      <c r="G14" s="15"/>
    </row>
    <row r="15" spans="2:7" ht="21.95" customHeight="1" x14ac:dyDescent="0.25">
      <c r="B15" s="22">
        <v>5</v>
      </c>
      <c r="C15" s="8" t="s">
        <v>16</v>
      </c>
      <c r="D15" s="7">
        <v>8</v>
      </c>
      <c r="E15" s="7">
        <v>7</v>
      </c>
      <c r="F15" s="18">
        <f t="shared" si="0"/>
        <v>15</v>
      </c>
      <c r="G15" s="15"/>
    </row>
    <row r="16" spans="2:7" ht="21.95" customHeight="1" x14ac:dyDescent="0.25">
      <c r="B16" s="23">
        <v>6</v>
      </c>
      <c r="C16" s="10" t="s">
        <v>17</v>
      </c>
      <c r="D16" s="9">
        <v>7</v>
      </c>
      <c r="E16" s="9">
        <v>3</v>
      </c>
      <c r="F16" s="19">
        <f t="shared" si="0"/>
        <v>10</v>
      </c>
      <c r="G16" s="15"/>
    </row>
    <row r="17" spans="2:7" ht="21.95" customHeight="1" x14ac:dyDescent="0.25">
      <c r="B17" s="22">
        <v>7</v>
      </c>
      <c r="C17" s="8" t="s">
        <v>18</v>
      </c>
      <c r="D17" s="7">
        <v>10</v>
      </c>
      <c r="E17" s="7">
        <v>7</v>
      </c>
      <c r="F17" s="18">
        <f t="shared" si="0"/>
        <v>17</v>
      </c>
      <c r="G17" s="15"/>
    </row>
    <row r="18" spans="2:7" ht="24" customHeight="1" x14ac:dyDescent="0.25">
      <c r="B18" s="29" t="s">
        <v>19</v>
      </c>
      <c r="C18" s="30"/>
      <c r="D18" s="11">
        <f>SUM(D11:D17)</f>
        <v>62</v>
      </c>
      <c r="E18" s="11">
        <f>SUM(E11:E17)</f>
        <v>62</v>
      </c>
      <c r="F18" s="20">
        <f>SUM(F11:F17)</f>
        <v>124</v>
      </c>
      <c r="G18" s="16"/>
    </row>
  </sheetData>
  <mergeCells count="5">
    <mergeCell ref="F4:G4"/>
    <mergeCell ref="B5:C5"/>
    <mergeCell ref="F5:G5"/>
    <mergeCell ref="B18:C18"/>
    <mergeCell ref="B4:C4"/>
  </mergeCells>
  <pageMargins left="0.75" right="0.75" top="1" bottom="1" header="0.5" footer="0.5"/>
  <pageSetup paperSize="9" scale="73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9"/>
  <sheetViews>
    <sheetView tabSelected="1" topLeftCell="A11" zoomScaleNormal="100" workbookViewId="0">
      <selection activeCell="H32" sqref="H32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30" customWidth="1"/>
    <col min="5" max="5" width="26" customWidth="1"/>
    <col min="6" max="6" width="20" customWidth="1"/>
    <col min="7" max="8" width="24" customWidth="1"/>
  </cols>
  <sheetData>
    <row r="1" spans="1:8" ht="26.1" customHeight="1" x14ac:dyDescent="0.25">
      <c r="A1" s="6" t="s">
        <v>7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</row>
    <row r="2" spans="1:8" ht="20.100000000000001" customHeight="1" x14ac:dyDescent="0.25">
      <c r="A2" s="7">
        <v>1</v>
      </c>
      <c r="B2" s="12" t="s">
        <v>29</v>
      </c>
      <c r="C2" s="12" t="s">
        <v>30</v>
      </c>
      <c r="D2" s="8" t="s">
        <v>31</v>
      </c>
      <c r="E2" s="8" t="s">
        <v>32</v>
      </c>
      <c r="F2" s="12" t="s">
        <v>33</v>
      </c>
      <c r="G2" s="8" t="s">
        <v>34</v>
      </c>
      <c r="H2" s="8" t="s">
        <v>35</v>
      </c>
    </row>
    <row r="3" spans="1:8" ht="20.100000000000001" customHeight="1" x14ac:dyDescent="0.25">
      <c r="A3" s="9">
        <v>2</v>
      </c>
      <c r="B3" s="13" t="s">
        <v>36</v>
      </c>
      <c r="C3" s="13" t="s">
        <v>30</v>
      </c>
      <c r="D3" s="10" t="s">
        <v>37</v>
      </c>
      <c r="E3" s="10" t="s">
        <v>38</v>
      </c>
      <c r="F3" s="13" t="s">
        <v>39</v>
      </c>
      <c r="G3" s="10" t="s">
        <v>40</v>
      </c>
      <c r="H3" s="10" t="s">
        <v>41</v>
      </c>
    </row>
    <row r="4" spans="1:8" ht="20.100000000000001" customHeight="1" x14ac:dyDescent="0.25">
      <c r="A4" s="7">
        <v>3</v>
      </c>
      <c r="B4" s="12" t="s">
        <v>42</v>
      </c>
      <c r="C4" s="12" t="s">
        <v>30</v>
      </c>
      <c r="D4" s="8" t="s">
        <v>43</v>
      </c>
      <c r="E4" s="8" t="s">
        <v>44</v>
      </c>
      <c r="F4" s="12" t="s">
        <v>45</v>
      </c>
      <c r="G4" s="8" t="s">
        <v>46</v>
      </c>
      <c r="H4" s="8" t="s">
        <v>47</v>
      </c>
    </row>
    <row r="5" spans="1:8" ht="20.100000000000001" customHeight="1" x14ac:dyDescent="0.25">
      <c r="A5" s="9">
        <v>4</v>
      </c>
      <c r="B5" s="13" t="s">
        <v>48</v>
      </c>
      <c r="C5" s="13" t="s">
        <v>30</v>
      </c>
      <c r="D5" s="10" t="s">
        <v>49</v>
      </c>
      <c r="E5" s="10" t="s">
        <v>50</v>
      </c>
      <c r="F5" s="13" t="s">
        <v>51</v>
      </c>
      <c r="G5" s="10" t="s">
        <v>52</v>
      </c>
      <c r="H5" s="10" t="s">
        <v>53</v>
      </c>
    </row>
    <row r="6" spans="1:8" ht="20.100000000000001" customHeight="1" x14ac:dyDescent="0.25">
      <c r="A6" s="7">
        <v>5</v>
      </c>
      <c r="B6" s="12" t="s">
        <v>54</v>
      </c>
      <c r="C6" s="12" t="s">
        <v>30</v>
      </c>
      <c r="D6" s="8" t="s">
        <v>55</v>
      </c>
      <c r="E6" s="8" t="s">
        <v>56</v>
      </c>
      <c r="F6" s="12" t="s">
        <v>57</v>
      </c>
      <c r="G6" s="8" t="s">
        <v>58</v>
      </c>
      <c r="H6" s="8" t="s">
        <v>59</v>
      </c>
    </row>
    <row r="7" spans="1:8" ht="20.100000000000001" customHeight="1" x14ac:dyDescent="0.25">
      <c r="A7" s="9">
        <v>6</v>
      </c>
      <c r="B7" s="13" t="s">
        <v>60</v>
      </c>
      <c r="C7" s="13" t="s">
        <v>30</v>
      </c>
      <c r="D7" s="10" t="s">
        <v>61</v>
      </c>
      <c r="E7" s="10" t="s">
        <v>62</v>
      </c>
      <c r="F7" s="13" t="s">
        <v>63</v>
      </c>
      <c r="G7" s="10" t="s">
        <v>64</v>
      </c>
      <c r="H7" s="10" t="s">
        <v>65</v>
      </c>
    </row>
    <row r="8" spans="1:8" ht="20.100000000000001" customHeight="1" x14ac:dyDescent="0.25">
      <c r="A8" s="7">
        <v>7</v>
      </c>
      <c r="B8" s="12" t="s">
        <v>66</v>
      </c>
      <c r="C8" s="12" t="s">
        <v>30</v>
      </c>
      <c r="D8" s="8" t="s">
        <v>67</v>
      </c>
      <c r="E8" s="8" t="s">
        <v>68</v>
      </c>
      <c r="F8" s="12" t="s">
        <v>69</v>
      </c>
      <c r="G8" s="8" t="s">
        <v>70</v>
      </c>
      <c r="H8" s="8" t="s">
        <v>71</v>
      </c>
    </row>
    <row r="9" spans="1:8" ht="20.100000000000001" customHeight="1" x14ac:dyDescent="0.25">
      <c r="A9" s="9">
        <v>8</v>
      </c>
      <c r="B9" s="13" t="s">
        <v>72</v>
      </c>
      <c r="C9" s="13" t="s">
        <v>30</v>
      </c>
      <c r="D9" s="10" t="s">
        <v>73</v>
      </c>
      <c r="E9" s="10" t="s">
        <v>74</v>
      </c>
      <c r="F9" s="13" t="s">
        <v>75</v>
      </c>
      <c r="G9" s="10" t="s">
        <v>785</v>
      </c>
      <c r="H9" s="10" t="s">
        <v>786</v>
      </c>
    </row>
    <row r="10" spans="1:8" ht="20.100000000000001" customHeight="1" x14ac:dyDescent="0.25">
      <c r="A10" s="7">
        <v>9</v>
      </c>
      <c r="B10" s="12" t="s">
        <v>76</v>
      </c>
      <c r="C10" s="12" t="s">
        <v>30</v>
      </c>
      <c r="D10" s="8" t="s">
        <v>77</v>
      </c>
      <c r="E10" s="8" t="s">
        <v>78</v>
      </c>
      <c r="F10" s="12" t="s">
        <v>79</v>
      </c>
      <c r="G10" s="8" t="s">
        <v>80</v>
      </c>
      <c r="H10" s="8" t="s">
        <v>81</v>
      </c>
    </row>
    <row r="11" spans="1:8" ht="20.100000000000001" customHeight="1" x14ac:dyDescent="0.25">
      <c r="A11" s="9">
        <v>10</v>
      </c>
      <c r="B11" s="13" t="s">
        <v>82</v>
      </c>
      <c r="C11" s="13" t="s">
        <v>30</v>
      </c>
      <c r="D11" s="10" t="s">
        <v>83</v>
      </c>
      <c r="E11" s="10" t="s">
        <v>84</v>
      </c>
      <c r="F11" s="13" t="s">
        <v>85</v>
      </c>
      <c r="G11" s="10" t="s">
        <v>86</v>
      </c>
      <c r="H11" s="10" t="s">
        <v>87</v>
      </c>
    </row>
    <row r="12" spans="1:8" ht="20.100000000000001" customHeight="1" x14ac:dyDescent="0.25">
      <c r="A12" s="7">
        <v>11</v>
      </c>
      <c r="B12" s="12" t="s">
        <v>88</v>
      </c>
      <c r="C12" s="12" t="s">
        <v>30</v>
      </c>
      <c r="D12" s="8" t="s">
        <v>89</v>
      </c>
      <c r="E12" s="8" t="s">
        <v>90</v>
      </c>
      <c r="F12" s="12" t="s">
        <v>91</v>
      </c>
      <c r="G12" s="8" t="s">
        <v>92</v>
      </c>
      <c r="H12" s="8" t="s">
        <v>93</v>
      </c>
    </row>
    <row r="13" spans="1:8" ht="20.100000000000001" customHeight="1" x14ac:dyDescent="0.25">
      <c r="A13" s="9">
        <v>12</v>
      </c>
      <c r="B13" s="13" t="s">
        <v>94</v>
      </c>
      <c r="C13" s="13" t="s">
        <v>30</v>
      </c>
      <c r="D13" s="10" t="s">
        <v>95</v>
      </c>
      <c r="E13" s="10" t="s">
        <v>96</v>
      </c>
      <c r="F13" s="13" t="s">
        <v>97</v>
      </c>
      <c r="G13" s="10" t="s">
        <v>98</v>
      </c>
      <c r="H13" s="10" t="s">
        <v>99</v>
      </c>
    </row>
    <row r="14" spans="1:8" ht="20.100000000000001" customHeight="1" x14ac:dyDescent="0.25">
      <c r="A14" s="7">
        <v>13</v>
      </c>
      <c r="B14" s="12" t="s">
        <v>100</v>
      </c>
      <c r="C14" s="12" t="s">
        <v>30</v>
      </c>
      <c r="D14" s="8" t="s">
        <v>101</v>
      </c>
      <c r="E14" s="8" t="s">
        <v>102</v>
      </c>
      <c r="F14" s="12" t="s">
        <v>103</v>
      </c>
      <c r="G14" s="8" t="s">
        <v>104</v>
      </c>
      <c r="H14" s="8" t="s">
        <v>105</v>
      </c>
    </row>
    <row r="15" spans="1:8" ht="20.100000000000001" customHeight="1" x14ac:dyDescent="0.25">
      <c r="A15" s="9">
        <v>14</v>
      </c>
      <c r="B15" s="13" t="s">
        <v>106</v>
      </c>
      <c r="C15" s="13" t="s">
        <v>30</v>
      </c>
      <c r="D15" s="10" t="s">
        <v>107</v>
      </c>
      <c r="E15" s="10" t="s">
        <v>108</v>
      </c>
      <c r="F15" s="13" t="s">
        <v>109</v>
      </c>
      <c r="G15" s="10" t="s">
        <v>110</v>
      </c>
      <c r="H15" s="10" t="s">
        <v>111</v>
      </c>
    </row>
    <row r="16" spans="1:8" ht="20.100000000000001" customHeight="1" x14ac:dyDescent="0.25">
      <c r="A16" s="7">
        <v>15</v>
      </c>
      <c r="B16" s="12" t="s">
        <v>112</v>
      </c>
      <c r="C16" s="12" t="s">
        <v>30</v>
      </c>
      <c r="D16" s="8" t="s">
        <v>113</v>
      </c>
      <c r="E16" s="8" t="s">
        <v>114</v>
      </c>
      <c r="F16" s="12" t="s">
        <v>115</v>
      </c>
      <c r="G16" s="8" t="s">
        <v>116</v>
      </c>
      <c r="H16" s="8" t="s">
        <v>117</v>
      </c>
    </row>
    <row r="17" spans="1:8" ht="20.100000000000001" customHeight="1" x14ac:dyDescent="0.25">
      <c r="A17" s="9">
        <v>16</v>
      </c>
      <c r="B17" s="13" t="s">
        <v>118</v>
      </c>
      <c r="C17" s="13" t="s">
        <v>30</v>
      </c>
      <c r="D17" s="10" t="s">
        <v>119</v>
      </c>
      <c r="E17" s="10" t="s">
        <v>120</v>
      </c>
      <c r="F17" s="13" t="s">
        <v>121</v>
      </c>
      <c r="G17" s="10" t="s">
        <v>122</v>
      </c>
      <c r="H17" s="10" t="s">
        <v>123</v>
      </c>
    </row>
    <row r="20" spans="1:8" ht="24" customHeight="1" x14ac:dyDescent="0.25">
      <c r="A20" s="24" t="s">
        <v>124</v>
      </c>
      <c r="B20" s="25"/>
      <c r="C20" s="25"/>
      <c r="D20" s="25"/>
      <c r="E20" s="25"/>
      <c r="F20" s="25"/>
      <c r="G20" s="25"/>
      <c r="H20" s="25"/>
    </row>
    <row r="21" spans="1:8" ht="26.1" customHeight="1" x14ac:dyDescent="0.25">
      <c r="A21" s="6" t="s">
        <v>7</v>
      </c>
      <c r="B21" s="6" t="s">
        <v>22</v>
      </c>
      <c r="C21" s="6" t="s">
        <v>23</v>
      </c>
      <c r="D21" s="6" t="s">
        <v>24</v>
      </c>
      <c r="E21" s="6" t="s">
        <v>25</v>
      </c>
      <c r="F21" s="6" t="s">
        <v>26</v>
      </c>
      <c r="G21" s="6" t="s">
        <v>27</v>
      </c>
      <c r="H21" s="6" t="s">
        <v>28</v>
      </c>
    </row>
    <row r="22" spans="1:8" ht="20.100000000000001" customHeight="1" x14ac:dyDescent="0.25">
      <c r="A22" s="7">
        <v>1</v>
      </c>
      <c r="B22" s="12" t="s">
        <v>125</v>
      </c>
      <c r="C22" s="12" t="s">
        <v>126</v>
      </c>
      <c r="D22" s="8" t="s">
        <v>127</v>
      </c>
      <c r="E22" s="8" t="s">
        <v>128</v>
      </c>
      <c r="F22" s="12" t="s">
        <v>129</v>
      </c>
      <c r="G22" s="8" t="s">
        <v>130</v>
      </c>
      <c r="H22" s="8" t="s">
        <v>131</v>
      </c>
    </row>
    <row r="23" spans="1:8" ht="20.100000000000001" customHeight="1" x14ac:dyDescent="0.25">
      <c r="A23" s="9">
        <v>2</v>
      </c>
      <c r="B23" s="13" t="s">
        <v>132</v>
      </c>
      <c r="C23" s="13" t="s">
        <v>133</v>
      </c>
      <c r="D23" s="10" t="s">
        <v>134</v>
      </c>
      <c r="E23" s="10" t="s">
        <v>135</v>
      </c>
      <c r="F23" s="13" t="s">
        <v>136</v>
      </c>
      <c r="G23" s="10" t="s">
        <v>137</v>
      </c>
      <c r="H23" s="10" t="s">
        <v>138</v>
      </c>
    </row>
    <row r="24" spans="1:8" ht="20.100000000000001" customHeight="1" x14ac:dyDescent="0.25">
      <c r="A24" s="7">
        <v>3</v>
      </c>
      <c r="B24" s="12" t="s">
        <v>139</v>
      </c>
      <c r="C24" s="12" t="s">
        <v>140</v>
      </c>
      <c r="D24" s="8" t="s">
        <v>141</v>
      </c>
      <c r="E24" s="8" t="s">
        <v>142</v>
      </c>
      <c r="F24" s="12" t="s">
        <v>143</v>
      </c>
      <c r="G24" s="8" t="s">
        <v>144</v>
      </c>
      <c r="H24" s="8" t="s">
        <v>145</v>
      </c>
    </row>
    <row r="25" spans="1:8" ht="20.100000000000001" customHeight="1" x14ac:dyDescent="0.25">
      <c r="A25" s="9">
        <v>4</v>
      </c>
      <c r="B25" s="13" t="s">
        <v>146</v>
      </c>
      <c r="C25" s="13" t="s">
        <v>147</v>
      </c>
      <c r="D25" s="10" t="s">
        <v>148</v>
      </c>
      <c r="E25" s="10" t="s">
        <v>149</v>
      </c>
      <c r="F25" s="13" t="s">
        <v>150</v>
      </c>
      <c r="G25" s="10" t="s">
        <v>151</v>
      </c>
      <c r="H25" s="10" t="s">
        <v>152</v>
      </c>
    </row>
    <row r="26" spans="1:8" ht="20.100000000000001" customHeight="1" x14ac:dyDescent="0.25">
      <c r="A26" s="7">
        <v>5</v>
      </c>
      <c r="B26" s="12" t="s">
        <v>153</v>
      </c>
      <c r="C26" s="12" t="s">
        <v>154</v>
      </c>
      <c r="D26" s="8" t="s">
        <v>155</v>
      </c>
      <c r="E26" s="8" t="s">
        <v>156</v>
      </c>
      <c r="F26" s="12" t="s">
        <v>157</v>
      </c>
      <c r="G26" s="8" t="s">
        <v>158</v>
      </c>
      <c r="H26" s="8" t="s">
        <v>159</v>
      </c>
    </row>
    <row r="27" spans="1:8" ht="20.100000000000001" customHeight="1" x14ac:dyDescent="0.25">
      <c r="A27" s="9">
        <v>6</v>
      </c>
      <c r="B27" s="13" t="s">
        <v>160</v>
      </c>
      <c r="C27" s="13" t="s">
        <v>161</v>
      </c>
      <c r="D27" s="10" t="s">
        <v>162</v>
      </c>
      <c r="E27" s="10" t="s">
        <v>163</v>
      </c>
      <c r="F27" s="13" t="s">
        <v>164</v>
      </c>
      <c r="G27" s="10" t="s">
        <v>165</v>
      </c>
      <c r="H27" s="10" t="s">
        <v>166</v>
      </c>
    </row>
    <row r="28" spans="1:8" ht="20.100000000000001" customHeight="1" x14ac:dyDescent="0.25">
      <c r="A28" s="7">
        <v>7</v>
      </c>
      <c r="B28" s="12" t="s">
        <v>167</v>
      </c>
      <c r="C28" s="12" t="s">
        <v>168</v>
      </c>
      <c r="D28" s="8" t="s">
        <v>169</v>
      </c>
      <c r="E28" s="8" t="s">
        <v>170</v>
      </c>
      <c r="F28" s="12" t="s">
        <v>171</v>
      </c>
      <c r="G28" s="8" t="s">
        <v>172</v>
      </c>
      <c r="H28" s="8" t="s">
        <v>173</v>
      </c>
    </row>
    <row r="29" spans="1:8" ht="20.100000000000001" customHeight="1" x14ac:dyDescent="0.25">
      <c r="A29" s="9">
        <v>8</v>
      </c>
      <c r="B29" s="13" t="s">
        <v>174</v>
      </c>
      <c r="C29" s="13" t="s">
        <v>175</v>
      </c>
      <c r="D29" s="10" t="s">
        <v>176</v>
      </c>
      <c r="E29" s="10" t="s">
        <v>177</v>
      </c>
      <c r="F29" s="13" t="s">
        <v>178</v>
      </c>
      <c r="G29" s="10" t="s">
        <v>179</v>
      </c>
      <c r="H29" s="10" t="s">
        <v>180</v>
      </c>
    </row>
    <row r="30" spans="1:8" ht="20.100000000000001" customHeight="1" x14ac:dyDescent="0.25">
      <c r="A30" s="7">
        <v>9</v>
      </c>
      <c r="B30" s="12" t="s">
        <v>181</v>
      </c>
      <c r="C30" s="12" t="s">
        <v>182</v>
      </c>
      <c r="D30" s="8" t="s">
        <v>183</v>
      </c>
      <c r="E30" s="8" t="s">
        <v>184</v>
      </c>
      <c r="F30" s="12" t="s">
        <v>185</v>
      </c>
      <c r="G30" s="8" t="s">
        <v>186</v>
      </c>
      <c r="H30" s="8" t="s">
        <v>187</v>
      </c>
    </row>
    <row r="31" spans="1:8" ht="20.100000000000001" customHeight="1" x14ac:dyDescent="0.25">
      <c r="A31" s="9">
        <v>10</v>
      </c>
      <c r="B31" s="13" t="s">
        <v>188</v>
      </c>
      <c r="C31" s="13" t="s">
        <v>189</v>
      </c>
      <c r="D31" s="10" t="s">
        <v>190</v>
      </c>
      <c r="E31" s="10" t="s">
        <v>191</v>
      </c>
      <c r="F31" s="13" t="s">
        <v>192</v>
      </c>
      <c r="G31" s="10" t="s">
        <v>193</v>
      </c>
      <c r="H31" s="10" t="s">
        <v>194</v>
      </c>
    </row>
    <row r="32" spans="1:8" ht="20.100000000000001" customHeight="1" x14ac:dyDescent="0.25">
      <c r="A32" s="7">
        <v>11</v>
      </c>
      <c r="B32" s="12" t="s">
        <v>195</v>
      </c>
      <c r="C32" s="12" t="s">
        <v>196</v>
      </c>
      <c r="D32" s="8" t="s">
        <v>197</v>
      </c>
      <c r="E32" s="8" t="s">
        <v>198</v>
      </c>
      <c r="F32" s="12" t="s">
        <v>199</v>
      </c>
      <c r="G32" s="8" t="s">
        <v>200</v>
      </c>
      <c r="H32" s="8" t="s">
        <v>201</v>
      </c>
    </row>
    <row r="33" spans="1:8" ht="20.100000000000001" customHeight="1" x14ac:dyDescent="0.25">
      <c r="A33" s="9">
        <v>12</v>
      </c>
      <c r="B33" s="13" t="s">
        <v>202</v>
      </c>
      <c r="C33" s="13" t="s">
        <v>203</v>
      </c>
      <c r="D33" s="10" t="s">
        <v>204</v>
      </c>
      <c r="E33" s="10" t="s">
        <v>205</v>
      </c>
      <c r="F33" s="13" t="s">
        <v>206</v>
      </c>
      <c r="G33" s="10" t="s">
        <v>207</v>
      </c>
      <c r="H33" s="10" t="s">
        <v>208</v>
      </c>
    </row>
    <row r="34" spans="1:8" ht="20.100000000000001" customHeight="1" x14ac:dyDescent="0.25">
      <c r="A34" s="7">
        <v>13</v>
      </c>
      <c r="B34" s="12" t="s">
        <v>209</v>
      </c>
      <c r="C34" s="12" t="s">
        <v>210</v>
      </c>
      <c r="D34" s="8" t="s">
        <v>211</v>
      </c>
      <c r="E34" s="8" t="s">
        <v>212</v>
      </c>
      <c r="F34" s="12" t="s">
        <v>213</v>
      </c>
      <c r="G34" s="8" t="s">
        <v>214</v>
      </c>
      <c r="H34" s="8" t="s">
        <v>215</v>
      </c>
    </row>
    <row r="35" spans="1:8" ht="20.100000000000001" customHeight="1" x14ac:dyDescent="0.25">
      <c r="A35" s="9">
        <v>14</v>
      </c>
      <c r="B35" s="13" t="s">
        <v>216</v>
      </c>
      <c r="C35" s="13" t="s">
        <v>217</v>
      </c>
      <c r="D35" s="10" t="s">
        <v>218</v>
      </c>
      <c r="E35" s="10" t="s">
        <v>219</v>
      </c>
      <c r="F35" s="13" t="s">
        <v>220</v>
      </c>
      <c r="G35" s="10" t="s">
        <v>221</v>
      </c>
      <c r="H35" s="10" t="s">
        <v>222</v>
      </c>
    </row>
    <row r="36" spans="1:8" ht="20.100000000000001" customHeight="1" x14ac:dyDescent="0.25">
      <c r="A36" s="7">
        <v>15</v>
      </c>
      <c r="B36" s="12" t="s">
        <v>223</v>
      </c>
      <c r="C36" s="12" t="s">
        <v>224</v>
      </c>
      <c r="D36" s="8" t="s">
        <v>225</v>
      </c>
      <c r="E36" s="8" t="s">
        <v>226</v>
      </c>
      <c r="F36" s="12" t="s">
        <v>227</v>
      </c>
      <c r="G36" s="8" t="s">
        <v>228</v>
      </c>
      <c r="H36" s="8" t="s">
        <v>229</v>
      </c>
    </row>
    <row r="37" spans="1:8" ht="20.100000000000001" customHeight="1" x14ac:dyDescent="0.25">
      <c r="A37" s="9">
        <v>16</v>
      </c>
      <c r="B37" s="13" t="s">
        <v>230</v>
      </c>
      <c r="C37" s="13" t="s">
        <v>231</v>
      </c>
      <c r="D37" s="10" t="s">
        <v>232</v>
      </c>
      <c r="E37" s="10" t="s">
        <v>233</v>
      </c>
      <c r="F37" s="13" t="s">
        <v>234</v>
      </c>
      <c r="G37" s="10" t="s">
        <v>235</v>
      </c>
      <c r="H37" s="10" t="s">
        <v>236</v>
      </c>
    </row>
    <row r="38" spans="1:8" ht="20.100000000000001" customHeight="1" x14ac:dyDescent="0.25">
      <c r="A38" s="7">
        <v>17</v>
      </c>
      <c r="B38" s="12" t="s">
        <v>237</v>
      </c>
      <c r="C38" s="12" t="s">
        <v>238</v>
      </c>
      <c r="D38" s="8" t="s">
        <v>239</v>
      </c>
      <c r="E38" s="8" t="s">
        <v>240</v>
      </c>
      <c r="F38" s="12" t="s">
        <v>241</v>
      </c>
      <c r="G38" s="8" t="s">
        <v>242</v>
      </c>
      <c r="H38" s="8" t="s">
        <v>243</v>
      </c>
    </row>
    <row r="39" spans="1:8" ht="20.100000000000001" customHeight="1" x14ac:dyDescent="0.25">
      <c r="A39" s="9">
        <v>18</v>
      </c>
      <c r="B39" s="13" t="s">
        <v>244</v>
      </c>
      <c r="C39" s="13" t="s">
        <v>245</v>
      </c>
      <c r="D39" s="10" t="s">
        <v>246</v>
      </c>
      <c r="E39" s="10" t="s">
        <v>247</v>
      </c>
      <c r="F39" s="13" t="s">
        <v>30</v>
      </c>
      <c r="G39" s="10" t="s">
        <v>248</v>
      </c>
      <c r="H39" s="10" t="s">
        <v>249</v>
      </c>
    </row>
    <row r="40" spans="1:8" ht="20.100000000000001" customHeight="1" x14ac:dyDescent="0.25">
      <c r="A40" s="7">
        <v>19</v>
      </c>
      <c r="B40" s="12" t="s">
        <v>250</v>
      </c>
      <c r="C40" s="12" t="s">
        <v>251</v>
      </c>
      <c r="D40" s="8" t="s">
        <v>252</v>
      </c>
      <c r="E40" s="8" t="s">
        <v>253</v>
      </c>
      <c r="F40" s="12" t="s">
        <v>254</v>
      </c>
      <c r="G40" s="8" t="s">
        <v>255</v>
      </c>
      <c r="H40" s="8" t="s">
        <v>256</v>
      </c>
    </row>
    <row r="41" spans="1:8" ht="20.100000000000001" customHeight="1" x14ac:dyDescent="0.25">
      <c r="A41" s="9">
        <v>20</v>
      </c>
      <c r="B41" s="13" t="s">
        <v>257</v>
      </c>
      <c r="C41" s="13" t="s">
        <v>258</v>
      </c>
      <c r="D41" s="10" t="s">
        <v>259</v>
      </c>
      <c r="E41" s="10" t="s">
        <v>260</v>
      </c>
      <c r="F41" s="13" t="s">
        <v>261</v>
      </c>
      <c r="G41" s="10" t="s">
        <v>262</v>
      </c>
      <c r="H41" s="10" t="s">
        <v>263</v>
      </c>
    </row>
    <row r="42" spans="1:8" ht="20.100000000000001" customHeight="1" x14ac:dyDescent="0.25">
      <c r="A42" s="7">
        <v>21</v>
      </c>
      <c r="B42" s="12" t="s">
        <v>264</v>
      </c>
      <c r="C42" s="12" t="s">
        <v>265</v>
      </c>
      <c r="D42" s="8" t="s">
        <v>266</v>
      </c>
      <c r="E42" s="8" t="s">
        <v>267</v>
      </c>
      <c r="F42" s="12" t="s">
        <v>268</v>
      </c>
      <c r="G42" s="8" t="s">
        <v>269</v>
      </c>
      <c r="H42" s="8" t="s">
        <v>270</v>
      </c>
    </row>
    <row r="43" spans="1:8" ht="20.100000000000001" customHeight="1" x14ac:dyDescent="0.25">
      <c r="A43" s="9">
        <v>22</v>
      </c>
      <c r="B43" s="13" t="s">
        <v>271</v>
      </c>
      <c r="C43" s="13" t="s">
        <v>272</v>
      </c>
      <c r="D43" s="10" t="s">
        <v>273</v>
      </c>
      <c r="E43" s="10" t="s">
        <v>274</v>
      </c>
      <c r="F43" s="13" t="s">
        <v>30</v>
      </c>
      <c r="G43" s="10" t="s">
        <v>248</v>
      </c>
      <c r="H43" s="10" t="s">
        <v>249</v>
      </c>
    </row>
    <row r="44" spans="1:8" ht="20.100000000000001" customHeight="1" x14ac:dyDescent="0.25">
      <c r="A44" s="7">
        <v>23</v>
      </c>
      <c r="B44" s="12" t="s">
        <v>275</v>
      </c>
      <c r="C44" s="12" t="s">
        <v>276</v>
      </c>
      <c r="D44" s="8" t="s">
        <v>277</v>
      </c>
      <c r="E44" s="8" t="s">
        <v>278</v>
      </c>
      <c r="F44" s="12" t="s">
        <v>279</v>
      </c>
      <c r="G44" s="8" t="s">
        <v>280</v>
      </c>
      <c r="H44" s="8" t="s">
        <v>281</v>
      </c>
    </row>
    <row r="45" spans="1:8" ht="20.100000000000001" customHeight="1" x14ac:dyDescent="0.25">
      <c r="A45" s="9">
        <v>24</v>
      </c>
      <c r="B45" s="13" t="s">
        <v>282</v>
      </c>
      <c r="C45" s="13" t="s">
        <v>283</v>
      </c>
      <c r="D45" s="10" t="s">
        <v>284</v>
      </c>
      <c r="E45" s="10" t="s">
        <v>285</v>
      </c>
      <c r="F45" s="13" t="s">
        <v>286</v>
      </c>
      <c r="G45" s="10" t="s">
        <v>287</v>
      </c>
      <c r="H45" s="10" t="s">
        <v>288</v>
      </c>
    </row>
    <row r="46" spans="1:8" ht="20.100000000000001" customHeight="1" x14ac:dyDescent="0.25">
      <c r="A46" s="7">
        <v>25</v>
      </c>
      <c r="B46" s="12" t="s">
        <v>289</v>
      </c>
      <c r="C46" s="12" t="s">
        <v>290</v>
      </c>
      <c r="D46" s="8" t="s">
        <v>291</v>
      </c>
      <c r="E46" s="8" t="s">
        <v>292</v>
      </c>
      <c r="F46" s="12" t="s">
        <v>293</v>
      </c>
      <c r="G46" s="8" t="s">
        <v>294</v>
      </c>
      <c r="H46" s="8" t="s">
        <v>295</v>
      </c>
    </row>
    <row r="47" spans="1:8" ht="20.100000000000001" customHeight="1" x14ac:dyDescent="0.25">
      <c r="A47" s="9">
        <v>26</v>
      </c>
      <c r="B47" s="13" t="s">
        <v>296</v>
      </c>
      <c r="C47" s="13" t="s">
        <v>297</v>
      </c>
      <c r="D47" s="10" t="s">
        <v>298</v>
      </c>
      <c r="E47" s="10" t="s">
        <v>299</v>
      </c>
      <c r="F47" s="13" t="s">
        <v>300</v>
      </c>
      <c r="G47" s="10" t="s">
        <v>92</v>
      </c>
      <c r="H47" s="10" t="s">
        <v>93</v>
      </c>
    </row>
    <row r="48" spans="1:8" ht="20.100000000000001" customHeight="1" x14ac:dyDescent="0.25">
      <c r="A48" s="7">
        <v>27</v>
      </c>
      <c r="B48" s="12" t="s">
        <v>301</v>
      </c>
      <c r="C48" s="12" t="s">
        <v>302</v>
      </c>
      <c r="D48" s="8" t="s">
        <v>303</v>
      </c>
      <c r="E48" s="8" t="s">
        <v>304</v>
      </c>
      <c r="F48" s="12" t="s">
        <v>305</v>
      </c>
      <c r="G48" s="8" t="s">
        <v>306</v>
      </c>
      <c r="H48" s="8" t="s">
        <v>307</v>
      </c>
    </row>
    <row r="51" spans="1:8" ht="24" customHeight="1" x14ac:dyDescent="0.25">
      <c r="A51" s="24" t="s">
        <v>308</v>
      </c>
      <c r="B51" s="25"/>
      <c r="C51" s="25"/>
      <c r="D51" s="25"/>
      <c r="E51" s="25"/>
      <c r="F51" s="25"/>
      <c r="G51" s="25"/>
      <c r="H51" s="25"/>
    </row>
    <row r="52" spans="1:8" ht="26.1" customHeight="1" x14ac:dyDescent="0.25">
      <c r="A52" s="6" t="s">
        <v>7</v>
      </c>
      <c r="B52" s="6" t="s">
        <v>22</v>
      </c>
      <c r="C52" s="6" t="s">
        <v>23</v>
      </c>
      <c r="D52" s="6" t="s">
        <v>24</v>
      </c>
      <c r="E52" s="6" t="s">
        <v>25</v>
      </c>
      <c r="F52" s="6" t="s">
        <v>26</v>
      </c>
      <c r="G52" s="6" t="s">
        <v>27</v>
      </c>
      <c r="H52" s="6" t="s">
        <v>28</v>
      </c>
    </row>
    <row r="53" spans="1:8" ht="20.100000000000001" customHeight="1" x14ac:dyDescent="0.25">
      <c r="A53" s="7">
        <v>1</v>
      </c>
      <c r="B53" s="12" t="s">
        <v>309</v>
      </c>
      <c r="C53" s="12" t="s">
        <v>310</v>
      </c>
      <c r="D53" s="8" t="s">
        <v>311</v>
      </c>
      <c r="E53" s="8" t="s">
        <v>312</v>
      </c>
      <c r="F53" s="12" t="s">
        <v>313</v>
      </c>
      <c r="G53" s="8" t="s">
        <v>314</v>
      </c>
      <c r="H53" s="8" t="s">
        <v>315</v>
      </c>
    </row>
    <row r="54" spans="1:8" ht="20.100000000000001" customHeight="1" x14ac:dyDescent="0.25">
      <c r="A54" s="9">
        <v>2</v>
      </c>
      <c r="B54" s="13" t="s">
        <v>316</v>
      </c>
      <c r="C54" s="13" t="s">
        <v>317</v>
      </c>
      <c r="D54" s="10" t="s">
        <v>318</v>
      </c>
      <c r="E54" s="10" t="s">
        <v>319</v>
      </c>
      <c r="F54" s="13" t="s">
        <v>30</v>
      </c>
      <c r="G54" s="10" t="s">
        <v>30</v>
      </c>
      <c r="H54" s="10" t="s">
        <v>320</v>
      </c>
    </row>
    <row r="55" spans="1:8" ht="20.100000000000001" customHeight="1" x14ac:dyDescent="0.25">
      <c r="A55" s="7">
        <v>3</v>
      </c>
      <c r="B55" s="12" t="s">
        <v>321</v>
      </c>
      <c r="C55" s="12" t="s">
        <v>322</v>
      </c>
      <c r="D55" s="8" t="s">
        <v>323</v>
      </c>
      <c r="E55" s="8" t="s">
        <v>324</v>
      </c>
      <c r="F55" s="12" t="s">
        <v>30</v>
      </c>
      <c r="G55" s="8" t="s">
        <v>30</v>
      </c>
      <c r="H55" s="8" t="s">
        <v>325</v>
      </c>
    </row>
    <row r="56" spans="1:8" ht="20.100000000000001" customHeight="1" x14ac:dyDescent="0.25">
      <c r="A56" s="9">
        <v>4</v>
      </c>
      <c r="B56" s="13" t="s">
        <v>326</v>
      </c>
      <c r="C56" s="13" t="s">
        <v>327</v>
      </c>
      <c r="D56" s="10" t="s">
        <v>328</v>
      </c>
      <c r="E56" s="10" t="s">
        <v>329</v>
      </c>
      <c r="F56" s="13" t="s">
        <v>30</v>
      </c>
      <c r="G56" s="10" t="s">
        <v>30</v>
      </c>
      <c r="H56" s="10" t="s">
        <v>330</v>
      </c>
    </row>
    <row r="57" spans="1:8" ht="20.100000000000001" customHeight="1" x14ac:dyDescent="0.25">
      <c r="A57" s="7">
        <v>5</v>
      </c>
      <c r="B57" s="12" t="s">
        <v>331</v>
      </c>
      <c r="C57" s="12" t="s">
        <v>332</v>
      </c>
      <c r="D57" s="8" t="s">
        <v>333</v>
      </c>
      <c r="E57" s="8" t="s">
        <v>334</v>
      </c>
      <c r="F57" s="12" t="s">
        <v>30</v>
      </c>
      <c r="G57" s="8" t="s">
        <v>30</v>
      </c>
      <c r="H57" s="8" t="s">
        <v>335</v>
      </c>
    </row>
    <row r="58" spans="1:8" ht="20.100000000000001" customHeight="1" x14ac:dyDescent="0.25">
      <c r="A58" s="9">
        <v>6</v>
      </c>
      <c r="B58" s="13" t="s">
        <v>336</v>
      </c>
      <c r="C58" s="13" t="s">
        <v>337</v>
      </c>
      <c r="D58" s="10" t="s">
        <v>338</v>
      </c>
      <c r="E58" s="10" t="s">
        <v>339</v>
      </c>
      <c r="F58" s="13" t="s">
        <v>30</v>
      </c>
      <c r="G58" s="10" t="s">
        <v>30</v>
      </c>
      <c r="H58" s="10" t="s">
        <v>117</v>
      </c>
    </row>
    <row r="59" spans="1:8" ht="20.100000000000001" customHeight="1" x14ac:dyDescent="0.25">
      <c r="A59" s="7">
        <v>7</v>
      </c>
      <c r="B59" s="12" t="s">
        <v>340</v>
      </c>
      <c r="C59" s="12" t="s">
        <v>341</v>
      </c>
      <c r="D59" s="8" t="s">
        <v>342</v>
      </c>
      <c r="E59" s="8" t="s">
        <v>343</v>
      </c>
      <c r="F59" s="12" t="s">
        <v>344</v>
      </c>
      <c r="G59" s="8" t="s">
        <v>345</v>
      </c>
      <c r="H59" s="8" t="s">
        <v>346</v>
      </c>
    </row>
    <row r="60" spans="1:8" ht="20.100000000000001" customHeight="1" x14ac:dyDescent="0.25">
      <c r="A60" s="9">
        <v>8</v>
      </c>
      <c r="B60" s="13" t="s">
        <v>347</v>
      </c>
      <c r="C60" s="13" t="s">
        <v>348</v>
      </c>
      <c r="D60" s="10" t="s">
        <v>349</v>
      </c>
      <c r="E60" s="10" t="s">
        <v>350</v>
      </c>
      <c r="F60" s="13" t="s">
        <v>30</v>
      </c>
      <c r="G60" s="10" t="s">
        <v>30</v>
      </c>
      <c r="H60" s="10" t="s">
        <v>351</v>
      </c>
    </row>
    <row r="61" spans="1:8" ht="20.100000000000001" customHeight="1" x14ac:dyDescent="0.25">
      <c r="A61" s="7">
        <v>9</v>
      </c>
      <c r="B61" s="12" t="s">
        <v>352</v>
      </c>
      <c r="C61" s="12" t="s">
        <v>353</v>
      </c>
      <c r="D61" s="8" t="s">
        <v>354</v>
      </c>
      <c r="E61" s="8" t="s">
        <v>355</v>
      </c>
      <c r="F61" s="12" t="s">
        <v>30</v>
      </c>
      <c r="G61" s="8" t="s">
        <v>30</v>
      </c>
      <c r="H61" s="8" t="s">
        <v>356</v>
      </c>
    </row>
    <row r="62" spans="1:8" ht="20.100000000000001" customHeight="1" x14ac:dyDescent="0.25">
      <c r="A62" s="9">
        <v>10</v>
      </c>
      <c r="B62" s="13" t="s">
        <v>357</v>
      </c>
      <c r="C62" s="13" t="s">
        <v>358</v>
      </c>
      <c r="D62" s="10" t="s">
        <v>359</v>
      </c>
      <c r="E62" s="10" t="s">
        <v>360</v>
      </c>
      <c r="F62" s="13" t="s">
        <v>30</v>
      </c>
      <c r="G62" s="10" t="s">
        <v>30</v>
      </c>
      <c r="H62" s="10" t="s">
        <v>361</v>
      </c>
    </row>
    <row r="63" spans="1:8" ht="20.100000000000001" customHeight="1" x14ac:dyDescent="0.25">
      <c r="A63" s="7">
        <v>11</v>
      </c>
      <c r="B63" s="12" t="s">
        <v>362</v>
      </c>
      <c r="C63" s="12" t="s">
        <v>363</v>
      </c>
      <c r="D63" s="8" t="s">
        <v>364</v>
      </c>
      <c r="E63" s="8" t="s">
        <v>365</v>
      </c>
      <c r="F63" s="12" t="s">
        <v>30</v>
      </c>
      <c r="G63" s="8" t="s">
        <v>30</v>
      </c>
      <c r="H63" s="8" t="s">
        <v>366</v>
      </c>
    </row>
    <row r="64" spans="1:8" ht="20.100000000000001" customHeight="1" x14ac:dyDescent="0.25">
      <c r="A64" s="9">
        <v>12</v>
      </c>
      <c r="B64" s="13" t="s">
        <v>367</v>
      </c>
      <c r="C64" s="13" t="s">
        <v>368</v>
      </c>
      <c r="D64" s="10" t="s">
        <v>369</v>
      </c>
      <c r="E64" s="10" t="s">
        <v>370</v>
      </c>
      <c r="F64" s="13" t="s">
        <v>30</v>
      </c>
      <c r="G64" s="10" t="s">
        <v>30</v>
      </c>
      <c r="H64" s="10" t="s">
        <v>371</v>
      </c>
    </row>
    <row r="65" spans="1:8" ht="20.100000000000001" customHeight="1" x14ac:dyDescent="0.25">
      <c r="A65" s="7">
        <v>13</v>
      </c>
      <c r="B65" s="12" t="s">
        <v>372</v>
      </c>
      <c r="C65" s="12" t="s">
        <v>373</v>
      </c>
      <c r="D65" s="8" t="s">
        <v>374</v>
      </c>
      <c r="E65" s="8" t="s">
        <v>375</v>
      </c>
      <c r="F65" s="12" t="s">
        <v>30</v>
      </c>
      <c r="G65" s="8" t="s">
        <v>30</v>
      </c>
      <c r="H65" s="8" t="s">
        <v>376</v>
      </c>
    </row>
    <row r="66" spans="1:8" ht="20.100000000000001" customHeight="1" x14ac:dyDescent="0.25">
      <c r="A66" s="9">
        <v>14</v>
      </c>
      <c r="B66" s="13" t="s">
        <v>377</v>
      </c>
      <c r="C66" s="13" t="s">
        <v>378</v>
      </c>
      <c r="D66" s="10" t="s">
        <v>379</v>
      </c>
      <c r="E66" s="10" t="s">
        <v>380</v>
      </c>
      <c r="F66" s="13" t="s">
        <v>30</v>
      </c>
      <c r="G66" s="10" t="s">
        <v>30</v>
      </c>
      <c r="H66" s="10" t="s">
        <v>381</v>
      </c>
    </row>
    <row r="67" spans="1:8" ht="20.100000000000001" customHeight="1" x14ac:dyDescent="0.25">
      <c r="A67" s="7">
        <v>15</v>
      </c>
      <c r="B67" s="12" t="s">
        <v>382</v>
      </c>
      <c r="C67" s="12" t="s">
        <v>383</v>
      </c>
      <c r="D67" s="8" t="s">
        <v>384</v>
      </c>
      <c r="E67" s="8" t="s">
        <v>385</v>
      </c>
      <c r="F67" s="12" t="s">
        <v>30</v>
      </c>
      <c r="G67" s="8" t="s">
        <v>30</v>
      </c>
      <c r="H67" s="8" t="s">
        <v>386</v>
      </c>
    </row>
    <row r="68" spans="1:8" ht="20.100000000000001" customHeight="1" x14ac:dyDescent="0.25">
      <c r="A68" s="9">
        <v>16</v>
      </c>
      <c r="B68" s="13" t="s">
        <v>387</v>
      </c>
      <c r="C68" s="13" t="s">
        <v>388</v>
      </c>
      <c r="D68" s="10" t="s">
        <v>389</v>
      </c>
      <c r="E68" s="10" t="s">
        <v>390</v>
      </c>
      <c r="F68" s="13" t="s">
        <v>30</v>
      </c>
      <c r="G68" s="10" t="s">
        <v>30</v>
      </c>
      <c r="H68" s="10" t="s">
        <v>391</v>
      </c>
    </row>
    <row r="69" spans="1:8" ht="20.100000000000001" customHeight="1" x14ac:dyDescent="0.25">
      <c r="A69" s="7">
        <v>17</v>
      </c>
      <c r="B69" s="12" t="s">
        <v>392</v>
      </c>
      <c r="C69" s="12" t="s">
        <v>393</v>
      </c>
      <c r="D69" s="8" t="s">
        <v>394</v>
      </c>
      <c r="E69" s="8" t="s">
        <v>395</v>
      </c>
      <c r="F69" s="12" t="s">
        <v>30</v>
      </c>
      <c r="G69" s="8" t="s">
        <v>30</v>
      </c>
      <c r="H69" s="8" t="s">
        <v>396</v>
      </c>
    </row>
    <row r="70" spans="1:8" ht="20.100000000000001" customHeight="1" x14ac:dyDescent="0.25">
      <c r="A70" s="9">
        <v>18</v>
      </c>
      <c r="B70" s="13" t="s">
        <v>397</v>
      </c>
      <c r="C70" s="13" t="s">
        <v>398</v>
      </c>
      <c r="D70" s="10" t="s">
        <v>399</v>
      </c>
      <c r="E70" s="10" t="s">
        <v>400</v>
      </c>
      <c r="F70" s="13" t="s">
        <v>401</v>
      </c>
      <c r="G70" s="10" t="s">
        <v>402</v>
      </c>
      <c r="H70" s="10" t="s">
        <v>403</v>
      </c>
    </row>
    <row r="71" spans="1:8" ht="20.100000000000001" customHeight="1" x14ac:dyDescent="0.25">
      <c r="A71" s="7">
        <v>19</v>
      </c>
      <c r="B71" s="12" t="s">
        <v>404</v>
      </c>
      <c r="C71" s="12" t="s">
        <v>405</v>
      </c>
      <c r="D71" s="8" t="s">
        <v>406</v>
      </c>
      <c r="E71" s="8" t="s">
        <v>407</v>
      </c>
      <c r="F71" s="12" t="s">
        <v>30</v>
      </c>
      <c r="G71" s="8" t="s">
        <v>30</v>
      </c>
      <c r="H71" s="8" t="s">
        <v>30</v>
      </c>
    </row>
    <row r="72" spans="1:8" ht="20.100000000000001" customHeight="1" x14ac:dyDescent="0.25">
      <c r="A72" s="9">
        <v>20</v>
      </c>
      <c r="B72" s="13" t="s">
        <v>408</v>
      </c>
      <c r="C72" s="13" t="s">
        <v>409</v>
      </c>
      <c r="D72" s="10" t="s">
        <v>410</v>
      </c>
      <c r="E72" s="10" t="s">
        <v>411</v>
      </c>
      <c r="F72" s="13" t="s">
        <v>30</v>
      </c>
      <c r="G72" s="10" t="s">
        <v>30</v>
      </c>
      <c r="H72" s="10" t="s">
        <v>412</v>
      </c>
    </row>
    <row r="73" spans="1:8" ht="20.100000000000001" customHeight="1" x14ac:dyDescent="0.25">
      <c r="A73" s="7">
        <v>21</v>
      </c>
      <c r="B73" s="12" t="s">
        <v>413</v>
      </c>
      <c r="C73" s="12" t="s">
        <v>414</v>
      </c>
      <c r="D73" s="8" t="s">
        <v>415</v>
      </c>
      <c r="E73" s="8" t="s">
        <v>416</v>
      </c>
      <c r="F73" s="12" t="s">
        <v>417</v>
      </c>
      <c r="G73" s="8" t="s">
        <v>104</v>
      </c>
      <c r="H73" s="8" t="s">
        <v>105</v>
      </c>
    </row>
    <row r="74" spans="1:8" ht="20.100000000000001" customHeight="1" x14ac:dyDescent="0.25">
      <c r="A74" s="9">
        <v>22</v>
      </c>
      <c r="B74" s="13" t="s">
        <v>418</v>
      </c>
      <c r="C74" s="13" t="s">
        <v>419</v>
      </c>
      <c r="D74" s="10" t="s">
        <v>420</v>
      </c>
      <c r="E74" s="10" t="s">
        <v>421</v>
      </c>
      <c r="F74" s="13" t="s">
        <v>30</v>
      </c>
      <c r="G74" s="10" t="s">
        <v>30</v>
      </c>
      <c r="H74" s="10" t="s">
        <v>422</v>
      </c>
    </row>
    <row r="75" spans="1:8" ht="20.100000000000001" customHeight="1" x14ac:dyDescent="0.25">
      <c r="A75" s="7">
        <v>23</v>
      </c>
      <c r="B75" s="12" t="s">
        <v>423</v>
      </c>
      <c r="C75" s="12" t="s">
        <v>424</v>
      </c>
      <c r="D75" s="8" t="s">
        <v>425</v>
      </c>
      <c r="E75" s="8" t="s">
        <v>426</v>
      </c>
      <c r="F75" s="12" t="s">
        <v>30</v>
      </c>
      <c r="G75" s="8" t="s">
        <v>30</v>
      </c>
      <c r="H75" s="8" t="s">
        <v>59</v>
      </c>
    </row>
    <row r="78" spans="1:8" ht="24" customHeight="1" x14ac:dyDescent="0.25">
      <c r="A78" s="24" t="s">
        <v>427</v>
      </c>
      <c r="B78" s="25"/>
      <c r="C78" s="25"/>
      <c r="D78" s="25"/>
      <c r="E78" s="25"/>
      <c r="F78" s="25"/>
      <c r="G78" s="25"/>
      <c r="H78" s="25"/>
    </row>
    <row r="79" spans="1:8" ht="26.1" customHeight="1" x14ac:dyDescent="0.25">
      <c r="A79" s="6" t="s">
        <v>7</v>
      </c>
      <c r="B79" s="6" t="s">
        <v>22</v>
      </c>
      <c r="C79" s="6" t="s">
        <v>23</v>
      </c>
      <c r="D79" s="6" t="s">
        <v>24</v>
      </c>
      <c r="E79" s="6" t="s">
        <v>25</v>
      </c>
      <c r="F79" s="6" t="s">
        <v>26</v>
      </c>
      <c r="G79" s="6" t="s">
        <v>27</v>
      </c>
      <c r="H79" s="6" t="s">
        <v>28</v>
      </c>
    </row>
    <row r="80" spans="1:8" ht="20.100000000000001" customHeight="1" x14ac:dyDescent="0.25">
      <c r="A80" s="7">
        <v>1</v>
      </c>
      <c r="B80" s="12" t="s">
        <v>428</v>
      </c>
      <c r="C80" s="12" t="s">
        <v>429</v>
      </c>
      <c r="D80" s="8" t="s">
        <v>430</v>
      </c>
      <c r="E80" s="8" t="s">
        <v>431</v>
      </c>
      <c r="F80" s="12" t="s">
        <v>432</v>
      </c>
      <c r="G80" s="8" t="s">
        <v>433</v>
      </c>
      <c r="H80" s="8" t="s">
        <v>434</v>
      </c>
    </row>
    <row r="81" spans="1:8" ht="20.100000000000001" customHeight="1" x14ac:dyDescent="0.25">
      <c r="A81" s="9">
        <v>2</v>
      </c>
      <c r="B81" s="13" t="s">
        <v>435</v>
      </c>
      <c r="C81" s="13" t="s">
        <v>436</v>
      </c>
      <c r="D81" s="10" t="s">
        <v>437</v>
      </c>
      <c r="E81" s="10" t="s">
        <v>438</v>
      </c>
      <c r="F81" s="13" t="s">
        <v>30</v>
      </c>
      <c r="G81" s="10" t="s">
        <v>30</v>
      </c>
      <c r="H81" s="10" t="s">
        <v>439</v>
      </c>
    </row>
    <row r="82" spans="1:8" ht="20.100000000000001" customHeight="1" x14ac:dyDescent="0.25">
      <c r="A82" s="7">
        <v>3</v>
      </c>
      <c r="B82" s="12" t="s">
        <v>440</v>
      </c>
      <c r="C82" s="12" t="s">
        <v>441</v>
      </c>
      <c r="D82" s="8" t="s">
        <v>442</v>
      </c>
      <c r="E82" s="8" t="s">
        <v>443</v>
      </c>
      <c r="F82" s="12" t="s">
        <v>444</v>
      </c>
      <c r="G82" s="8" t="s">
        <v>445</v>
      </c>
      <c r="H82" s="8" t="s">
        <v>446</v>
      </c>
    </row>
    <row r="83" spans="1:8" ht="20.100000000000001" customHeight="1" x14ac:dyDescent="0.25">
      <c r="A83" s="9">
        <v>4</v>
      </c>
      <c r="B83" s="13" t="s">
        <v>447</v>
      </c>
      <c r="C83" s="13" t="s">
        <v>448</v>
      </c>
      <c r="D83" s="10" t="s">
        <v>449</v>
      </c>
      <c r="E83" s="10" t="s">
        <v>450</v>
      </c>
      <c r="F83" s="13" t="s">
        <v>451</v>
      </c>
      <c r="G83" s="10" t="s">
        <v>452</v>
      </c>
      <c r="H83" s="10" t="s">
        <v>453</v>
      </c>
    </row>
    <row r="84" spans="1:8" ht="20.100000000000001" customHeight="1" x14ac:dyDescent="0.25">
      <c r="A84" s="7">
        <v>5</v>
      </c>
      <c r="B84" s="12" t="s">
        <v>454</v>
      </c>
      <c r="C84" s="12" t="s">
        <v>455</v>
      </c>
      <c r="D84" s="8" t="s">
        <v>456</v>
      </c>
      <c r="E84" s="8" t="s">
        <v>457</v>
      </c>
      <c r="F84" s="12" t="s">
        <v>458</v>
      </c>
      <c r="G84" s="8" t="s">
        <v>459</v>
      </c>
      <c r="H84" s="8" t="s">
        <v>460</v>
      </c>
    </row>
    <row r="85" spans="1:8" ht="20.100000000000001" customHeight="1" x14ac:dyDescent="0.25">
      <c r="A85" s="9">
        <v>6</v>
      </c>
      <c r="B85" s="13" t="s">
        <v>461</v>
      </c>
      <c r="C85" s="13" t="s">
        <v>462</v>
      </c>
      <c r="D85" s="10" t="s">
        <v>463</v>
      </c>
      <c r="E85" s="10" t="s">
        <v>464</v>
      </c>
      <c r="F85" s="13" t="s">
        <v>465</v>
      </c>
      <c r="G85" s="10" t="s">
        <v>466</v>
      </c>
      <c r="H85" s="10" t="s">
        <v>467</v>
      </c>
    </row>
    <row r="86" spans="1:8" ht="20.100000000000001" customHeight="1" x14ac:dyDescent="0.25">
      <c r="A86" s="7">
        <v>7</v>
      </c>
      <c r="B86" s="12" t="s">
        <v>468</v>
      </c>
      <c r="C86" s="12" t="s">
        <v>469</v>
      </c>
      <c r="D86" s="8" t="s">
        <v>470</v>
      </c>
      <c r="E86" s="8" t="s">
        <v>471</v>
      </c>
      <c r="F86" s="12" t="s">
        <v>192</v>
      </c>
      <c r="G86" s="8" t="s">
        <v>472</v>
      </c>
      <c r="H86" s="8" t="s">
        <v>473</v>
      </c>
    </row>
    <row r="87" spans="1:8" ht="20.100000000000001" customHeight="1" x14ac:dyDescent="0.25">
      <c r="A87" s="9">
        <v>8</v>
      </c>
      <c r="B87" s="13" t="s">
        <v>474</v>
      </c>
      <c r="C87" s="13" t="s">
        <v>475</v>
      </c>
      <c r="D87" s="10" t="s">
        <v>476</v>
      </c>
      <c r="E87" s="10" t="s">
        <v>477</v>
      </c>
      <c r="F87" s="13" t="s">
        <v>30</v>
      </c>
      <c r="G87" s="10" t="s">
        <v>30</v>
      </c>
      <c r="H87" s="10" t="s">
        <v>478</v>
      </c>
    </row>
    <row r="88" spans="1:8" ht="20.100000000000001" customHeight="1" x14ac:dyDescent="0.25">
      <c r="A88" s="7">
        <v>9</v>
      </c>
      <c r="B88" s="12" t="s">
        <v>479</v>
      </c>
      <c r="C88" s="12" t="s">
        <v>480</v>
      </c>
      <c r="D88" s="8" t="s">
        <v>481</v>
      </c>
      <c r="E88" s="8" t="s">
        <v>482</v>
      </c>
      <c r="F88" s="12" t="s">
        <v>483</v>
      </c>
      <c r="G88" s="8" t="s">
        <v>484</v>
      </c>
      <c r="H88" s="8" t="s">
        <v>485</v>
      </c>
    </row>
    <row r="89" spans="1:8" ht="20.100000000000001" customHeight="1" x14ac:dyDescent="0.25">
      <c r="A89" s="9">
        <v>10</v>
      </c>
      <c r="B89" s="13" t="s">
        <v>486</v>
      </c>
      <c r="C89" s="13" t="s">
        <v>487</v>
      </c>
      <c r="D89" s="10" t="s">
        <v>488</v>
      </c>
      <c r="E89" s="10" t="s">
        <v>489</v>
      </c>
      <c r="F89" s="13" t="s">
        <v>30</v>
      </c>
      <c r="G89" s="10" t="s">
        <v>490</v>
      </c>
      <c r="H89" s="10" t="s">
        <v>491</v>
      </c>
    </row>
    <row r="90" spans="1:8" ht="20.100000000000001" customHeight="1" x14ac:dyDescent="0.25">
      <c r="A90" s="7">
        <v>11</v>
      </c>
      <c r="B90" s="12" t="s">
        <v>492</v>
      </c>
      <c r="C90" s="12" t="s">
        <v>493</v>
      </c>
      <c r="D90" s="8" t="s">
        <v>494</v>
      </c>
      <c r="E90" s="8" t="s">
        <v>495</v>
      </c>
      <c r="F90" s="12" t="s">
        <v>496</v>
      </c>
      <c r="G90" s="8" t="s">
        <v>497</v>
      </c>
      <c r="H90" s="8" t="s">
        <v>498</v>
      </c>
    </row>
    <row r="91" spans="1:8" ht="20.100000000000001" customHeight="1" x14ac:dyDescent="0.25">
      <c r="A91" s="9">
        <v>12</v>
      </c>
      <c r="B91" s="13" t="s">
        <v>499</v>
      </c>
      <c r="C91" s="13" t="s">
        <v>500</v>
      </c>
      <c r="D91" s="10" t="s">
        <v>501</v>
      </c>
      <c r="E91" s="10" t="s">
        <v>502</v>
      </c>
      <c r="F91" s="13" t="s">
        <v>503</v>
      </c>
      <c r="G91" s="10" t="s">
        <v>504</v>
      </c>
      <c r="H91" s="10" t="s">
        <v>505</v>
      </c>
    </row>
    <row r="92" spans="1:8" ht="20.100000000000001" customHeight="1" x14ac:dyDescent="0.25">
      <c r="A92" s="7">
        <v>13</v>
      </c>
      <c r="B92" s="12" t="s">
        <v>506</v>
      </c>
      <c r="C92" s="12" t="s">
        <v>507</v>
      </c>
      <c r="D92" s="8" t="s">
        <v>508</v>
      </c>
      <c r="E92" s="8" t="s">
        <v>509</v>
      </c>
      <c r="F92" s="12" t="s">
        <v>30</v>
      </c>
      <c r="G92" s="8" t="s">
        <v>30</v>
      </c>
      <c r="H92" s="8" t="s">
        <v>510</v>
      </c>
    </row>
    <row r="93" spans="1:8" ht="20.100000000000001" customHeight="1" x14ac:dyDescent="0.25">
      <c r="A93" s="9">
        <v>14</v>
      </c>
      <c r="B93" s="13" t="s">
        <v>511</v>
      </c>
      <c r="C93" s="13" t="s">
        <v>512</v>
      </c>
      <c r="D93" s="10" t="s">
        <v>513</v>
      </c>
      <c r="E93" s="10" t="s">
        <v>514</v>
      </c>
      <c r="F93" s="13" t="s">
        <v>515</v>
      </c>
      <c r="G93" s="10" t="s">
        <v>516</v>
      </c>
      <c r="H93" s="10" t="s">
        <v>517</v>
      </c>
    </row>
    <row r="94" spans="1:8" ht="20.100000000000001" customHeight="1" x14ac:dyDescent="0.25">
      <c r="A94" s="7">
        <v>15</v>
      </c>
      <c r="B94" s="12" t="s">
        <v>518</v>
      </c>
      <c r="C94" s="12" t="s">
        <v>519</v>
      </c>
      <c r="D94" s="8" t="s">
        <v>520</v>
      </c>
      <c r="E94" s="8" t="s">
        <v>521</v>
      </c>
      <c r="F94" s="12" t="s">
        <v>522</v>
      </c>
      <c r="G94" s="8" t="s">
        <v>523</v>
      </c>
      <c r="H94" s="8" t="s">
        <v>524</v>
      </c>
    </row>
    <row r="95" spans="1:8" ht="20.100000000000001" customHeight="1" x14ac:dyDescent="0.25">
      <c r="A95" s="9">
        <v>16</v>
      </c>
      <c r="B95" s="13" t="s">
        <v>525</v>
      </c>
      <c r="C95" s="13" t="s">
        <v>526</v>
      </c>
      <c r="D95" s="10" t="s">
        <v>527</v>
      </c>
      <c r="E95" s="10" t="s">
        <v>528</v>
      </c>
      <c r="F95" s="13" t="s">
        <v>529</v>
      </c>
      <c r="G95" s="10" t="s">
        <v>530</v>
      </c>
      <c r="H95" s="10" t="s">
        <v>531</v>
      </c>
    </row>
    <row r="98" spans="1:8" ht="24" customHeight="1" x14ac:dyDescent="0.25">
      <c r="A98" s="24" t="s">
        <v>532</v>
      </c>
      <c r="B98" s="25"/>
      <c r="C98" s="25"/>
      <c r="D98" s="25"/>
      <c r="E98" s="25"/>
      <c r="F98" s="25"/>
      <c r="G98" s="25"/>
      <c r="H98" s="25"/>
    </row>
    <row r="99" spans="1:8" ht="26.1" customHeight="1" x14ac:dyDescent="0.25">
      <c r="A99" s="6" t="s">
        <v>7</v>
      </c>
      <c r="B99" s="6" t="s">
        <v>22</v>
      </c>
      <c r="C99" s="6" t="s">
        <v>23</v>
      </c>
      <c r="D99" s="6" t="s">
        <v>24</v>
      </c>
      <c r="E99" s="6" t="s">
        <v>25</v>
      </c>
      <c r="F99" s="6" t="s">
        <v>26</v>
      </c>
      <c r="G99" s="6" t="s">
        <v>27</v>
      </c>
      <c r="H99" s="6" t="s">
        <v>28</v>
      </c>
    </row>
    <row r="100" spans="1:8" ht="20.100000000000001" customHeight="1" x14ac:dyDescent="0.25">
      <c r="A100" s="7">
        <v>1</v>
      </c>
      <c r="B100" s="12" t="s">
        <v>533</v>
      </c>
      <c r="C100" s="12" t="s">
        <v>534</v>
      </c>
      <c r="D100" s="8" t="s">
        <v>535</v>
      </c>
      <c r="E100" s="8" t="s">
        <v>536</v>
      </c>
      <c r="F100" s="12" t="s">
        <v>537</v>
      </c>
      <c r="G100" s="8" t="s">
        <v>538</v>
      </c>
      <c r="H100" s="8" t="s">
        <v>539</v>
      </c>
    </row>
    <row r="101" spans="1:8" ht="20.100000000000001" customHeight="1" x14ac:dyDescent="0.25">
      <c r="A101" s="9">
        <v>2</v>
      </c>
      <c r="B101" s="13" t="s">
        <v>540</v>
      </c>
      <c r="C101" s="13" t="s">
        <v>541</v>
      </c>
      <c r="D101" s="10" t="s">
        <v>542</v>
      </c>
      <c r="E101" s="10" t="s">
        <v>543</v>
      </c>
      <c r="F101" s="13" t="s">
        <v>544</v>
      </c>
      <c r="G101" s="10" t="s">
        <v>545</v>
      </c>
      <c r="H101" s="10" t="s">
        <v>546</v>
      </c>
    </row>
    <row r="102" spans="1:8" ht="20.100000000000001" customHeight="1" x14ac:dyDescent="0.25">
      <c r="A102" s="7">
        <v>3</v>
      </c>
      <c r="B102" s="12" t="s">
        <v>547</v>
      </c>
      <c r="C102" s="12" t="s">
        <v>548</v>
      </c>
      <c r="D102" s="8" t="s">
        <v>549</v>
      </c>
      <c r="E102" s="8" t="s">
        <v>550</v>
      </c>
      <c r="F102" s="12" t="s">
        <v>551</v>
      </c>
      <c r="G102" s="8" t="s">
        <v>552</v>
      </c>
      <c r="H102" s="8" t="s">
        <v>553</v>
      </c>
    </row>
    <row r="103" spans="1:8" ht="20.100000000000001" customHeight="1" x14ac:dyDescent="0.25">
      <c r="A103" s="9">
        <v>4</v>
      </c>
      <c r="B103" s="13" t="s">
        <v>554</v>
      </c>
      <c r="C103" s="13" t="s">
        <v>555</v>
      </c>
      <c r="D103" s="10" t="s">
        <v>556</v>
      </c>
      <c r="E103" s="10" t="s">
        <v>557</v>
      </c>
      <c r="F103" s="13" t="s">
        <v>30</v>
      </c>
      <c r="G103" s="10" t="s">
        <v>30</v>
      </c>
      <c r="H103" s="10" t="s">
        <v>558</v>
      </c>
    </row>
    <row r="104" spans="1:8" ht="20.100000000000001" customHeight="1" x14ac:dyDescent="0.25">
      <c r="A104" s="7">
        <v>5</v>
      </c>
      <c r="B104" s="12" t="s">
        <v>559</v>
      </c>
      <c r="C104" s="12" t="s">
        <v>560</v>
      </c>
      <c r="D104" s="8" t="s">
        <v>561</v>
      </c>
      <c r="E104" s="8" t="s">
        <v>562</v>
      </c>
      <c r="F104" s="12" t="s">
        <v>563</v>
      </c>
      <c r="G104" s="8" t="s">
        <v>564</v>
      </c>
      <c r="H104" s="8" t="s">
        <v>565</v>
      </c>
    </row>
    <row r="105" spans="1:8" ht="20.100000000000001" customHeight="1" x14ac:dyDescent="0.25">
      <c r="A105" s="9">
        <v>6</v>
      </c>
      <c r="B105" s="13" t="s">
        <v>566</v>
      </c>
      <c r="C105" s="13" t="s">
        <v>567</v>
      </c>
      <c r="D105" s="10" t="s">
        <v>568</v>
      </c>
      <c r="E105" s="10" t="s">
        <v>569</v>
      </c>
      <c r="F105" s="13" t="s">
        <v>129</v>
      </c>
      <c r="G105" s="10" t="s">
        <v>130</v>
      </c>
      <c r="H105" s="10" t="s">
        <v>131</v>
      </c>
    </row>
    <row r="106" spans="1:8" ht="20.100000000000001" customHeight="1" x14ac:dyDescent="0.25">
      <c r="A106" s="7">
        <v>7</v>
      </c>
      <c r="B106" s="12" t="s">
        <v>570</v>
      </c>
      <c r="C106" s="12" t="s">
        <v>571</v>
      </c>
      <c r="D106" s="8" t="s">
        <v>572</v>
      </c>
      <c r="E106" s="8" t="s">
        <v>573</v>
      </c>
      <c r="F106" s="12" t="s">
        <v>574</v>
      </c>
      <c r="G106" s="8" t="s">
        <v>575</v>
      </c>
      <c r="H106" s="8" t="s">
        <v>59</v>
      </c>
    </row>
    <row r="107" spans="1:8" ht="20.100000000000001" customHeight="1" x14ac:dyDescent="0.25">
      <c r="A107" s="9">
        <v>8</v>
      </c>
      <c r="B107" s="13" t="s">
        <v>576</v>
      </c>
      <c r="C107" s="13" t="s">
        <v>577</v>
      </c>
      <c r="D107" s="10" t="s">
        <v>578</v>
      </c>
      <c r="E107" s="10" t="s">
        <v>579</v>
      </c>
      <c r="F107" s="13" t="s">
        <v>580</v>
      </c>
      <c r="G107" s="10" t="s">
        <v>581</v>
      </c>
      <c r="H107" s="10" t="s">
        <v>582</v>
      </c>
    </row>
    <row r="108" spans="1:8" ht="20.100000000000001" customHeight="1" x14ac:dyDescent="0.25">
      <c r="A108" s="7">
        <v>9</v>
      </c>
      <c r="B108" s="12" t="s">
        <v>583</v>
      </c>
      <c r="C108" s="12" t="s">
        <v>584</v>
      </c>
      <c r="D108" s="8" t="s">
        <v>585</v>
      </c>
      <c r="E108" s="8" t="s">
        <v>586</v>
      </c>
      <c r="F108" s="12" t="s">
        <v>587</v>
      </c>
      <c r="G108" s="8" t="s">
        <v>588</v>
      </c>
      <c r="H108" s="8" t="s">
        <v>589</v>
      </c>
    </row>
    <row r="109" spans="1:8" ht="20.100000000000001" customHeight="1" x14ac:dyDescent="0.25">
      <c r="A109" s="9">
        <v>10</v>
      </c>
      <c r="B109" s="13" t="s">
        <v>590</v>
      </c>
      <c r="C109" s="13" t="s">
        <v>591</v>
      </c>
      <c r="D109" s="10" t="s">
        <v>592</v>
      </c>
      <c r="E109" s="10" t="s">
        <v>593</v>
      </c>
      <c r="F109" s="13" t="s">
        <v>594</v>
      </c>
      <c r="G109" s="10" t="s">
        <v>595</v>
      </c>
      <c r="H109" s="10" t="s">
        <v>596</v>
      </c>
    </row>
    <row r="110" spans="1:8" ht="20.100000000000001" customHeight="1" x14ac:dyDescent="0.25">
      <c r="A110" s="7">
        <v>11</v>
      </c>
      <c r="B110" s="12" t="s">
        <v>597</v>
      </c>
      <c r="C110" s="12" t="s">
        <v>598</v>
      </c>
      <c r="D110" s="8" t="s">
        <v>599</v>
      </c>
      <c r="E110" s="8" t="s">
        <v>600</v>
      </c>
      <c r="F110" s="12" t="s">
        <v>601</v>
      </c>
      <c r="G110" s="8" t="s">
        <v>602</v>
      </c>
      <c r="H110" s="8" t="s">
        <v>603</v>
      </c>
    </row>
    <row r="111" spans="1:8" ht="20.100000000000001" customHeight="1" x14ac:dyDescent="0.25">
      <c r="A111" s="9">
        <v>12</v>
      </c>
      <c r="B111" s="13" t="s">
        <v>604</v>
      </c>
      <c r="C111" s="13" t="s">
        <v>605</v>
      </c>
      <c r="D111" s="10" t="s">
        <v>606</v>
      </c>
      <c r="E111" s="10" t="s">
        <v>607</v>
      </c>
      <c r="F111" s="13" t="s">
        <v>608</v>
      </c>
      <c r="G111" s="10" t="s">
        <v>609</v>
      </c>
      <c r="H111" s="10" t="s">
        <v>610</v>
      </c>
    </row>
    <row r="112" spans="1:8" ht="20.100000000000001" customHeight="1" x14ac:dyDescent="0.25">
      <c r="A112" s="7">
        <v>13</v>
      </c>
      <c r="B112" s="12" t="s">
        <v>611</v>
      </c>
      <c r="C112" s="12" t="s">
        <v>612</v>
      </c>
      <c r="D112" s="8" t="s">
        <v>613</v>
      </c>
      <c r="E112" s="8" t="s">
        <v>614</v>
      </c>
      <c r="F112" s="12" t="s">
        <v>615</v>
      </c>
      <c r="G112" s="8" t="s">
        <v>616</v>
      </c>
      <c r="H112" s="8" t="s">
        <v>617</v>
      </c>
    </row>
    <row r="113" spans="1:8" ht="20.100000000000001" customHeight="1" x14ac:dyDescent="0.25">
      <c r="A113" s="9">
        <v>14</v>
      </c>
      <c r="B113" s="13" t="s">
        <v>618</v>
      </c>
      <c r="C113" s="13" t="s">
        <v>619</v>
      </c>
      <c r="D113" s="10" t="s">
        <v>620</v>
      </c>
      <c r="E113" s="10" t="s">
        <v>621</v>
      </c>
      <c r="F113" s="13" t="s">
        <v>622</v>
      </c>
      <c r="G113" s="10" t="s">
        <v>623</v>
      </c>
      <c r="H113" s="10" t="s">
        <v>624</v>
      </c>
    </row>
    <row r="114" spans="1:8" ht="20.100000000000001" customHeight="1" x14ac:dyDescent="0.25">
      <c r="A114" s="7">
        <v>15</v>
      </c>
      <c r="B114" s="12" t="s">
        <v>625</v>
      </c>
      <c r="C114" s="12" t="s">
        <v>626</v>
      </c>
      <c r="D114" s="8" t="s">
        <v>627</v>
      </c>
      <c r="E114" s="8" t="s">
        <v>628</v>
      </c>
      <c r="F114" s="12" t="s">
        <v>629</v>
      </c>
      <c r="G114" s="8" t="s">
        <v>630</v>
      </c>
      <c r="H114" s="8" t="s">
        <v>386</v>
      </c>
    </row>
    <row r="117" spans="1:8" ht="24" customHeight="1" x14ac:dyDescent="0.25">
      <c r="A117" s="24" t="s">
        <v>631</v>
      </c>
      <c r="B117" s="25"/>
      <c r="C117" s="25"/>
      <c r="D117" s="25"/>
      <c r="E117" s="25"/>
      <c r="F117" s="25"/>
      <c r="G117" s="25"/>
      <c r="H117" s="25"/>
    </row>
    <row r="118" spans="1:8" ht="26.1" customHeight="1" x14ac:dyDescent="0.25">
      <c r="A118" s="6" t="s">
        <v>7</v>
      </c>
      <c r="B118" s="6" t="s">
        <v>22</v>
      </c>
      <c r="C118" s="6" t="s">
        <v>23</v>
      </c>
      <c r="D118" s="6" t="s">
        <v>24</v>
      </c>
      <c r="E118" s="6" t="s">
        <v>25</v>
      </c>
      <c r="F118" s="6" t="s">
        <v>26</v>
      </c>
      <c r="G118" s="6" t="s">
        <v>27</v>
      </c>
      <c r="H118" s="6" t="s">
        <v>28</v>
      </c>
    </row>
    <row r="119" spans="1:8" ht="20.100000000000001" customHeight="1" x14ac:dyDescent="0.25">
      <c r="A119" s="7">
        <v>1</v>
      </c>
      <c r="B119" s="12" t="s">
        <v>632</v>
      </c>
      <c r="C119" s="12" t="s">
        <v>633</v>
      </c>
      <c r="D119" s="8" t="s">
        <v>634</v>
      </c>
      <c r="E119" s="8" t="s">
        <v>635</v>
      </c>
      <c r="F119" s="12" t="s">
        <v>30</v>
      </c>
      <c r="G119" s="8" t="s">
        <v>30</v>
      </c>
      <c r="H119" s="8" t="s">
        <v>35</v>
      </c>
    </row>
    <row r="120" spans="1:8" ht="20.100000000000001" customHeight="1" x14ac:dyDescent="0.25">
      <c r="A120" s="9">
        <v>2</v>
      </c>
      <c r="B120" s="13" t="s">
        <v>636</v>
      </c>
      <c r="C120" s="13" t="s">
        <v>637</v>
      </c>
      <c r="D120" s="10" t="s">
        <v>638</v>
      </c>
      <c r="E120" s="10" t="s">
        <v>639</v>
      </c>
      <c r="F120" s="13" t="s">
        <v>640</v>
      </c>
      <c r="G120" s="10" t="s">
        <v>641</v>
      </c>
      <c r="H120" s="10" t="s">
        <v>642</v>
      </c>
    </row>
    <row r="121" spans="1:8" ht="20.100000000000001" customHeight="1" x14ac:dyDescent="0.25">
      <c r="A121" s="7">
        <v>3</v>
      </c>
      <c r="B121" s="12" t="s">
        <v>643</v>
      </c>
      <c r="C121" s="12" t="s">
        <v>644</v>
      </c>
      <c r="D121" s="8" t="s">
        <v>645</v>
      </c>
      <c r="E121" s="8" t="s">
        <v>646</v>
      </c>
      <c r="F121" s="12" t="s">
        <v>647</v>
      </c>
      <c r="G121" s="8" t="s">
        <v>648</v>
      </c>
      <c r="H121" s="8" t="s">
        <v>649</v>
      </c>
    </row>
    <row r="122" spans="1:8" ht="20.100000000000001" customHeight="1" x14ac:dyDescent="0.25">
      <c r="A122" s="9">
        <v>4</v>
      </c>
      <c r="B122" s="13" t="s">
        <v>650</v>
      </c>
      <c r="C122" s="13" t="s">
        <v>651</v>
      </c>
      <c r="D122" s="10" t="s">
        <v>652</v>
      </c>
      <c r="E122" s="10" t="s">
        <v>653</v>
      </c>
      <c r="F122" s="13" t="s">
        <v>654</v>
      </c>
      <c r="G122" s="10" t="s">
        <v>655</v>
      </c>
      <c r="H122" s="10" t="s">
        <v>656</v>
      </c>
    </row>
    <row r="123" spans="1:8" ht="20.100000000000001" customHeight="1" x14ac:dyDescent="0.25">
      <c r="A123" s="7">
        <v>5</v>
      </c>
      <c r="B123" s="12" t="s">
        <v>657</v>
      </c>
      <c r="C123" s="12" t="s">
        <v>658</v>
      </c>
      <c r="D123" s="8" t="s">
        <v>659</v>
      </c>
      <c r="E123" s="8" t="s">
        <v>660</v>
      </c>
      <c r="F123" s="12" t="s">
        <v>661</v>
      </c>
      <c r="G123" s="8" t="s">
        <v>137</v>
      </c>
      <c r="H123" s="8" t="s">
        <v>662</v>
      </c>
    </row>
    <row r="124" spans="1:8" ht="20.100000000000001" customHeight="1" x14ac:dyDescent="0.25">
      <c r="A124" s="9">
        <v>6</v>
      </c>
      <c r="B124" s="13" t="s">
        <v>663</v>
      </c>
      <c r="C124" s="13" t="s">
        <v>664</v>
      </c>
      <c r="D124" s="10" t="s">
        <v>665</v>
      </c>
      <c r="E124" s="10" t="s">
        <v>666</v>
      </c>
      <c r="F124" s="13" t="s">
        <v>667</v>
      </c>
      <c r="G124" s="10" t="s">
        <v>668</v>
      </c>
      <c r="H124" s="10" t="s">
        <v>669</v>
      </c>
    </row>
    <row r="125" spans="1:8" ht="20.100000000000001" customHeight="1" x14ac:dyDescent="0.25">
      <c r="A125" s="7">
        <v>7</v>
      </c>
      <c r="B125" s="12" t="s">
        <v>670</v>
      </c>
      <c r="C125" s="12" t="s">
        <v>671</v>
      </c>
      <c r="D125" s="8" t="s">
        <v>672</v>
      </c>
      <c r="E125" s="8" t="s">
        <v>673</v>
      </c>
      <c r="F125" s="12" t="s">
        <v>674</v>
      </c>
      <c r="G125" s="8" t="s">
        <v>675</v>
      </c>
      <c r="H125" s="8" t="s">
        <v>676</v>
      </c>
    </row>
    <row r="126" spans="1:8" ht="20.100000000000001" customHeight="1" x14ac:dyDescent="0.25">
      <c r="A126" s="9">
        <v>8</v>
      </c>
      <c r="B126" s="13" t="s">
        <v>677</v>
      </c>
      <c r="C126" s="13" t="s">
        <v>678</v>
      </c>
      <c r="D126" s="10" t="s">
        <v>679</v>
      </c>
      <c r="E126" s="10" t="s">
        <v>680</v>
      </c>
      <c r="F126" s="13" t="s">
        <v>681</v>
      </c>
      <c r="G126" s="10" t="s">
        <v>682</v>
      </c>
      <c r="H126" s="10" t="s">
        <v>683</v>
      </c>
    </row>
    <row r="127" spans="1:8" ht="20.100000000000001" customHeight="1" x14ac:dyDescent="0.25">
      <c r="A127" s="7">
        <v>9</v>
      </c>
      <c r="B127" s="12" t="s">
        <v>684</v>
      </c>
      <c r="C127" s="12" t="s">
        <v>685</v>
      </c>
      <c r="D127" s="8" t="s">
        <v>686</v>
      </c>
      <c r="E127" s="8" t="s">
        <v>687</v>
      </c>
      <c r="F127" s="12" t="s">
        <v>30</v>
      </c>
      <c r="G127" s="8" t="s">
        <v>30</v>
      </c>
      <c r="H127" s="8" t="s">
        <v>498</v>
      </c>
    </row>
    <row r="128" spans="1:8" ht="20.100000000000001" customHeight="1" x14ac:dyDescent="0.25">
      <c r="A128" s="9">
        <v>10</v>
      </c>
      <c r="B128" s="13" t="s">
        <v>688</v>
      </c>
      <c r="C128" s="13" t="s">
        <v>689</v>
      </c>
      <c r="D128" s="10" t="s">
        <v>690</v>
      </c>
      <c r="E128" s="10" t="s">
        <v>691</v>
      </c>
      <c r="F128" s="13" t="s">
        <v>692</v>
      </c>
      <c r="G128" s="10" t="s">
        <v>693</v>
      </c>
      <c r="H128" s="10" t="s">
        <v>694</v>
      </c>
    </row>
    <row r="131" spans="1:8" ht="24" customHeight="1" x14ac:dyDescent="0.25">
      <c r="A131" s="24" t="s">
        <v>695</v>
      </c>
      <c r="B131" s="25"/>
      <c r="C131" s="25"/>
      <c r="D131" s="25"/>
      <c r="E131" s="25"/>
      <c r="F131" s="25"/>
      <c r="G131" s="25"/>
      <c r="H131" s="25"/>
    </row>
    <row r="132" spans="1:8" ht="26.1" customHeight="1" x14ac:dyDescent="0.25">
      <c r="A132" s="6" t="s">
        <v>7</v>
      </c>
      <c r="B132" s="6" t="s">
        <v>22</v>
      </c>
      <c r="C132" s="6" t="s">
        <v>23</v>
      </c>
      <c r="D132" s="6" t="s">
        <v>24</v>
      </c>
      <c r="E132" s="6" t="s">
        <v>25</v>
      </c>
      <c r="F132" s="6" t="s">
        <v>26</v>
      </c>
      <c r="G132" s="6" t="s">
        <v>27</v>
      </c>
      <c r="H132" s="6" t="s">
        <v>28</v>
      </c>
    </row>
    <row r="133" spans="1:8" ht="20.100000000000001" customHeight="1" x14ac:dyDescent="0.25">
      <c r="A133" s="7">
        <v>1</v>
      </c>
      <c r="B133" s="12" t="s">
        <v>696</v>
      </c>
      <c r="C133" s="12" t="s">
        <v>697</v>
      </c>
      <c r="D133" s="8" t="s">
        <v>698</v>
      </c>
      <c r="E133" s="8" t="s">
        <v>699</v>
      </c>
      <c r="F133" s="12" t="s">
        <v>30</v>
      </c>
      <c r="G133" s="8" t="s">
        <v>30</v>
      </c>
      <c r="H133" s="8" t="s">
        <v>700</v>
      </c>
    </row>
    <row r="134" spans="1:8" ht="20.100000000000001" customHeight="1" x14ac:dyDescent="0.25">
      <c r="A134" s="9">
        <v>2</v>
      </c>
      <c r="B134" s="13" t="s">
        <v>701</v>
      </c>
      <c r="C134" s="13" t="s">
        <v>702</v>
      </c>
      <c r="D134" s="10" t="s">
        <v>703</v>
      </c>
      <c r="E134" s="10" t="s">
        <v>704</v>
      </c>
      <c r="F134" s="13" t="s">
        <v>30</v>
      </c>
      <c r="G134" s="10" t="s">
        <v>30</v>
      </c>
      <c r="H134" s="10" t="s">
        <v>510</v>
      </c>
    </row>
    <row r="135" spans="1:8" ht="20.100000000000001" customHeight="1" x14ac:dyDescent="0.25">
      <c r="A135" s="7">
        <v>3</v>
      </c>
      <c r="B135" s="12" t="s">
        <v>705</v>
      </c>
      <c r="C135" s="12" t="s">
        <v>706</v>
      </c>
      <c r="D135" s="8" t="s">
        <v>707</v>
      </c>
      <c r="E135" s="8" t="s">
        <v>708</v>
      </c>
      <c r="F135" s="12" t="s">
        <v>30</v>
      </c>
      <c r="G135" s="8" t="s">
        <v>30</v>
      </c>
      <c r="H135" s="8" t="s">
        <v>709</v>
      </c>
    </row>
    <row r="136" spans="1:8" ht="20.100000000000001" customHeight="1" x14ac:dyDescent="0.25">
      <c r="A136" s="9">
        <v>4</v>
      </c>
      <c r="B136" s="13" t="s">
        <v>710</v>
      </c>
      <c r="C136" s="13" t="s">
        <v>711</v>
      </c>
      <c r="D136" s="10" t="s">
        <v>712</v>
      </c>
      <c r="E136" s="10" t="s">
        <v>713</v>
      </c>
      <c r="F136" s="13" t="s">
        <v>234</v>
      </c>
      <c r="G136" s="10" t="s">
        <v>235</v>
      </c>
      <c r="H136" s="10" t="s">
        <v>236</v>
      </c>
    </row>
    <row r="137" spans="1:8" ht="20.100000000000001" customHeight="1" x14ac:dyDescent="0.25">
      <c r="A137" s="7">
        <v>5</v>
      </c>
      <c r="B137" s="12" t="s">
        <v>714</v>
      </c>
      <c r="C137" s="12" t="s">
        <v>715</v>
      </c>
      <c r="D137" s="8" t="s">
        <v>716</v>
      </c>
      <c r="E137" s="8" t="s">
        <v>717</v>
      </c>
      <c r="F137" s="12" t="s">
        <v>344</v>
      </c>
      <c r="G137" s="8" t="s">
        <v>345</v>
      </c>
      <c r="H137" s="8" t="s">
        <v>718</v>
      </c>
    </row>
    <row r="138" spans="1:8" ht="20.100000000000001" customHeight="1" x14ac:dyDescent="0.25">
      <c r="A138" s="9">
        <v>6</v>
      </c>
      <c r="B138" s="13" t="s">
        <v>719</v>
      </c>
      <c r="C138" s="13" t="s">
        <v>720</v>
      </c>
      <c r="D138" s="10" t="s">
        <v>721</v>
      </c>
      <c r="E138" s="10" t="s">
        <v>722</v>
      </c>
      <c r="F138" s="13" t="s">
        <v>723</v>
      </c>
      <c r="G138" s="10" t="s">
        <v>724</v>
      </c>
      <c r="H138" s="10" t="s">
        <v>391</v>
      </c>
    </row>
    <row r="139" spans="1:8" ht="20.100000000000001" customHeight="1" x14ac:dyDescent="0.25">
      <c r="A139" s="7">
        <v>7</v>
      </c>
      <c r="B139" s="12" t="s">
        <v>725</v>
      </c>
      <c r="C139" s="12" t="s">
        <v>726</v>
      </c>
      <c r="D139" s="8" t="s">
        <v>727</v>
      </c>
      <c r="E139" s="8" t="s">
        <v>728</v>
      </c>
      <c r="F139" s="12" t="s">
        <v>30</v>
      </c>
      <c r="G139" s="8" t="s">
        <v>30</v>
      </c>
      <c r="H139" s="8" t="s">
        <v>729</v>
      </c>
    </row>
    <row r="140" spans="1:8" ht="20.100000000000001" customHeight="1" x14ac:dyDescent="0.25">
      <c r="A140" s="9">
        <v>8</v>
      </c>
      <c r="B140" s="13" t="s">
        <v>730</v>
      </c>
      <c r="C140" s="13" t="s">
        <v>731</v>
      </c>
      <c r="D140" s="10" t="s">
        <v>732</v>
      </c>
      <c r="E140" s="10" t="s">
        <v>733</v>
      </c>
      <c r="F140" s="13" t="s">
        <v>30</v>
      </c>
      <c r="G140" s="10" t="s">
        <v>30</v>
      </c>
      <c r="H140" s="10" t="s">
        <v>734</v>
      </c>
    </row>
    <row r="141" spans="1:8" ht="20.100000000000001" customHeight="1" x14ac:dyDescent="0.25">
      <c r="A141" s="7">
        <v>9</v>
      </c>
      <c r="B141" s="12" t="s">
        <v>735</v>
      </c>
      <c r="C141" s="12" t="s">
        <v>736</v>
      </c>
      <c r="D141" s="8" t="s">
        <v>737</v>
      </c>
      <c r="E141" s="8" t="s">
        <v>738</v>
      </c>
      <c r="F141" s="12" t="s">
        <v>432</v>
      </c>
      <c r="G141" s="8" t="s">
        <v>433</v>
      </c>
      <c r="H141" s="8" t="s">
        <v>434</v>
      </c>
    </row>
    <row r="142" spans="1:8" ht="20.100000000000001" customHeight="1" x14ac:dyDescent="0.25">
      <c r="A142" s="9">
        <v>10</v>
      </c>
      <c r="B142" s="13" t="s">
        <v>739</v>
      </c>
      <c r="C142" s="13" t="s">
        <v>740</v>
      </c>
      <c r="D142" s="10" t="s">
        <v>741</v>
      </c>
      <c r="E142" s="10" t="s">
        <v>742</v>
      </c>
      <c r="F142" s="13" t="s">
        <v>30</v>
      </c>
      <c r="G142" s="10" t="s">
        <v>30</v>
      </c>
      <c r="H142" s="10" t="s">
        <v>743</v>
      </c>
    </row>
    <row r="143" spans="1:8" ht="20.100000000000001" customHeight="1" x14ac:dyDescent="0.25">
      <c r="A143" s="7">
        <v>11</v>
      </c>
      <c r="B143" s="12" t="s">
        <v>744</v>
      </c>
      <c r="C143" s="12" t="s">
        <v>745</v>
      </c>
      <c r="D143" s="8" t="s">
        <v>746</v>
      </c>
      <c r="E143" s="8" t="s">
        <v>747</v>
      </c>
      <c r="F143" s="12" t="s">
        <v>30</v>
      </c>
      <c r="G143" s="8" t="s">
        <v>30</v>
      </c>
      <c r="H143" s="8" t="s">
        <v>748</v>
      </c>
    </row>
    <row r="144" spans="1:8" ht="20.100000000000001" customHeight="1" x14ac:dyDescent="0.25">
      <c r="A144" s="9">
        <v>12</v>
      </c>
      <c r="B144" s="13" t="s">
        <v>749</v>
      </c>
      <c r="C144" s="13" t="s">
        <v>750</v>
      </c>
      <c r="D144" s="10" t="s">
        <v>751</v>
      </c>
      <c r="E144" s="10" t="s">
        <v>752</v>
      </c>
      <c r="F144" s="13" t="s">
        <v>30</v>
      </c>
      <c r="G144" s="10" t="s">
        <v>30</v>
      </c>
      <c r="H144" s="10" t="s">
        <v>753</v>
      </c>
    </row>
    <row r="145" spans="1:8" ht="20.100000000000001" customHeight="1" x14ac:dyDescent="0.25">
      <c r="A145" s="7">
        <v>13</v>
      </c>
      <c r="B145" s="12" t="s">
        <v>754</v>
      </c>
      <c r="C145" s="12" t="s">
        <v>755</v>
      </c>
      <c r="D145" s="8" t="s">
        <v>756</v>
      </c>
      <c r="E145" s="8" t="s">
        <v>757</v>
      </c>
      <c r="F145" s="12" t="s">
        <v>758</v>
      </c>
      <c r="G145" s="8" t="s">
        <v>759</v>
      </c>
      <c r="H145" s="8" t="s">
        <v>760</v>
      </c>
    </row>
    <row r="146" spans="1:8" ht="20.100000000000001" customHeight="1" x14ac:dyDescent="0.25">
      <c r="A146" s="9">
        <v>14</v>
      </c>
      <c r="B146" s="13" t="s">
        <v>761</v>
      </c>
      <c r="C146" s="13" t="s">
        <v>762</v>
      </c>
      <c r="D146" s="10" t="s">
        <v>763</v>
      </c>
      <c r="E146" s="10" t="s">
        <v>764</v>
      </c>
      <c r="F146" s="13" t="s">
        <v>765</v>
      </c>
      <c r="G146" s="10" t="s">
        <v>766</v>
      </c>
      <c r="H146" s="10" t="s">
        <v>767</v>
      </c>
    </row>
    <row r="147" spans="1:8" ht="20.100000000000001" customHeight="1" x14ac:dyDescent="0.25">
      <c r="A147" s="7">
        <v>15</v>
      </c>
      <c r="B147" s="12" t="s">
        <v>768</v>
      </c>
      <c r="C147" s="12" t="s">
        <v>769</v>
      </c>
      <c r="D147" s="8" t="s">
        <v>770</v>
      </c>
      <c r="E147" s="8" t="s">
        <v>771</v>
      </c>
      <c r="F147" s="12" t="s">
        <v>772</v>
      </c>
      <c r="G147" s="8" t="s">
        <v>773</v>
      </c>
      <c r="H147" s="8" t="s">
        <v>774</v>
      </c>
    </row>
    <row r="148" spans="1:8" ht="20.100000000000001" customHeight="1" x14ac:dyDescent="0.25">
      <c r="A148" s="9">
        <v>16</v>
      </c>
      <c r="B148" s="13" t="s">
        <v>775</v>
      </c>
      <c r="C148" s="13" t="s">
        <v>776</v>
      </c>
      <c r="D148" s="10" t="s">
        <v>777</v>
      </c>
      <c r="E148" s="10" t="s">
        <v>778</v>
      </c>
      <c r="F148" s="13" t="s">
        <v>779</v>
      </c>
      <c r="G148" s="10" t="s">
        <v>780</v>
      </c>
      <c r="H148" s="10" t="s">
        <v>781</v>
      </c>
    </row>
    <row r="149" spans="1:8" ht="20.100000000000001" customHeight="1" x14ac:dyDescent="0.25">
      <c r="A149" s="7">
        <v>17</v>
      </c>
      <c r="B149" s="12" t="s">
        <v>782</v>
      </c>
      <c r="C149" s="12" t="s">
        <v>783</v>
      </c>
      <c r="D149" s="8" t="s">
        <v>784</v>
      </c>
      <c r="E149" s="8" t="s">
        <v>778</v>
      </c>
      <c r="F149" s="12" t="s">
        <v>779</v>
      </c>
      <c r="G149" s="8" t="s">
        <v>780</v>
      </c>
      <c r="H149" s="8" t="s">
        <v>781</v>
      </c>
    </row>
  </sheetData>
  <mergeCells count="6">
    <mergeCell ref="A131:H131"/>
    <mergeCell ref="A51:H51"/>
    <mergeCell ref="A20:H20"/>
    <mergeCell ref="A78:H78"/>
    <mergeCell ref="A117:H117"/>
    <mergeCell ref="A98:H98"/>
  </mergeCells>
  <pageMargins left="0.7" right="0.7" top="0.75" bottom="0.75" header="0.3" footer="0.3"/>
  <pageSetup paperSize="9" scale="70" orientation="landscape" r:id="rId1"/>
  <rowBreaks count="6" manualBreakCount="6">
    <brk id="18" max="16383" man="1"/>
    <brk id="49" max="16383" man="1"/>
    <brk id="76" max="16383" man="1"/>
    <brk id="96" max="16383" man="1"/>
    <brk id="115" max="16383" man="1"/>
    <brk id="12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Normal="100" workbookViewId="0">
      <selection activeCell="G1" sqref="G1:G1048576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30" customWidth="1"/>
    <col min="5" max="5" width="26" customWidth="1"/>
    <col min="6" max="6" width="20" customWidth="1"/>
    <col min="7" max="8" width="24" customWidth="1"/>
  </cols>
  <sheetData>
    <row r="1" spans="1:8" ht="18" x14ac:dyDescent="0.25">
      <c r="A1" s="1" t="s">
        <v>0</v>
      </c>
    </row>
    <row r="2" spans="1:8" x14ac:dyDescent="0.25">
      <c r="A2" s="2" t="s">
        <v>20</v>
      </c>
    </row>
    <row r="4" spans="1:8" ht="24" customHeight="1" x14ac:dyDescent="0.25">
      <c r="A4" s="24" t="s">
        <v>21</v>
      </c>
      <c r="B4" s="25"/>
      <c r="C4" s="25"/>
      <c r="D4" s="25"/>
      <c r="E4" s="25"/>
      <c r="F4" s="25"/>
      <c r="G4" s="25"/>
      <c r="H4" s="25"/>
    </row>
    <row r="6" spans="1:8" ht="26.1" customHeight="1" x14ac:dyDescent="0.25">
      <c r="A6" s="6" t="s">
        <v>7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</row>
    <row r="7" spans="1:8" ht="20.100000000000001" customHeight="1" x14ac:dyDescent="0.25">
      <c r="A7" s="7">
        <v>1</v>
      </c>
      <c r="B7" s="12" t="s">
        <v>29</v>
      </c>
      <c r="C7" s="12" t="s">
        <v>30</v>
      </c>
      <c r="D7" s="8" t="s">
        <v>31</v>
      </c>
      <c r="E7" s="8" t="s">
        <v>32</v>
      </c>
      <c r="F7" s="12" t="s">
        <v>33</v>
      </c>
      <c r="G7" s="8" t="s">
        <v>34</v>
      </c>
      <c r="H7" s="8" t="s">
        <v>35</v>
      </c>
    </row>
    <row r="8" spans="1:8" ht="20.100000000000001" customHeight="1" x14ac:dyDescent="0.25">
      <c r="A8" s="9">
        <v>2</v>
      </c>
      <c r="B8" s="13" t="s">
        <v>36</v>
      </c>
      <c r="C8" s="13" t="s">
        <v>30</v>
      </c>
      <c r="D8" s="10" t="s">
        <v>37</v>
      </c>
      <c r="E8" s="10" t="s">
        <v>38</v>
      </c>
      <c r="F8" s="13" t="s">
        <v>39</v>
      </c>
      <c r="G8" s="10" t="s">
        <v>40</v>
      </c>
      <c r="H8" s="10" t="s">
        <v>41</v>
      </c>
    </row>
    <row r="9" spans="1:8" ht="20.100000000000001" customHeight="1" x14ac:dyDescent="0.25">
      <c r="A9" s="7">
        <v>3</v>
      </c>
      <c r="B9" s="12" t="s">
        <v>42</v>
      </c>
      <c r="C9" s="12" t="s">
        <v>30</v>
      </c>
      <c r="D9" s="8" t="s">
        <v>43</v>
      </c>
      <c r="E9" s="8" t="s">
        <v>44</v>
      </c>
      <c r="F9" s="12" t="s">
        <v>45</v>
      </c>
      <c r="G9" s="8" t="s">
        <v>46</v>
      </c>
      <c r="H9" s="8" t="s">
        <v>47</v>
      </c>
    </row>
    <row r="10" spans="1:8" ht="20.100000000000001" customHeight="1" x14ac:dyDescent="0.25">
      <c r="A10" s="9">
        <v>4</v>
      </c>
      <c r="B10" s="13" t="s">
        <v>48</v>
      </c>
      <c r="C10" s="13" t="s">
        <v>30</v>
      </c>
      <c r="D10" s="10" t="s">
        <v>49</v>
      </c>
      <c r="E10" s="10" t="s">
        <v>50</v>
      </c>
      <c r="F10" s="13" t="s">
        <v>51</v>
      </c>
      <c r="G10" s="10" t="s">
        <v>52</v>
      </c>
      <c r="H10" s="10" t="s">
        <v>53</v>
      </c>
    </row>
    <row r="11" spans="1:8" ht="20.100000000000001" customHeight="1" x14ac:dyDescent="0.25">
      <c r="A11" s="7">
        <v>5</v>
      </c>
      <c r="B11" s="12" t="s">
        <v>54</v>
      </c>
      <c r="C11" s="12" t="s">
        <v>30</v>
      </c>
      <c r="D11" s="8" t="s">
        <v>55</v>
      </c>
      <c r="E11" s="8" t="s">
        <v>56</v>
      </c>
      <c r="F11" s="12" t="s">
        <v>57</v>
      </c>
      <c r="G11" s="8" t="s">
        <v>58</v>
      </c>
      <c r="H11" s="8" t="s">
        <v>59</v>
      </c>
    </row>
    <row r="12" spans="1:8" ht="20.100000000000001" customHeight="1" x14ac:dyDescent="0.25">
      <c r="A12" s="9">
        <v>6</v>
      </c>
      <c r="B12" s="13" t="s">
        <v>60</v>
      </c>
      <c r="C12" s="13" t="s">
        <v>30</v>
      </c>
      <c r="D12" s="10" t="s">
        <v>61</v>
      </c>
      <c r="E12" s="10" t="s">
        <v>62</v>
      </c>
      <c r="F12" s="13" t="s">
        <v>63</v>
      </c>
      <c r="G12" s="10" t="s">
        <v>64</v>
      </c>
      <c r="H12" s="10" t="s">
        <v>65</v>
      </c>
    </row>
    <row r="13" spans="1:8" ht="20.100000000000001" customHeight="1" x14ac:dyDescent="0.25">
      <c r="A13" s="7">
        <v>7</v>
      </c>
      <c r="B13" s="12" t="s">
        <v>66</v>
      </c>
      <c r="C13" s="12" t="s">
        <v>30</v>
      </c>
      <c r="D13" s="8" t="s">
        <v>67</v>
      </c>
      <c r="E13" s="8" t="s">
        <v>68</v>
      </c>
      <c r="F13" s="12" t="s">
        <v>69</v>
      </c>
      <c r="G13" s="8" t="s">
        <v>70</v>
      </c>
      <c r="H13" s="8" t="s">
        <v>71</v>
      </c>
    </row>
    <row r="14" spans="1:8" ht="20.100000000000001" customHeight="1" x14ac:dyDescent="0.25">
      <c r="A14" s="9">
        <v>8</v>
      </c>
      <c r="B14" s="13" t="s">
        <v>72</v>
      </c>
      <c r="C14" s="13" t="s">
        <v>30</v>
      </c>
      <c r="D14" s="10" t="s">
        <v>73</v>
      </c>
      <c r="E14" s="10" t="s">
        <v>74</v>
      </c>
      <c r="F14" s="13" t="s">
        <v>75</v>
      </c>
      <c r="G14" s="10" t="s">
        <v>785</v>
      </c>
      <c r="H14" s="10" t="s">
        <v>786</v>
      </c>
    </row>
    <row r="15" spans="1:8" ht="20.100000000000001" customHeight="1" x14ac:dyDescent="0.25">
      <c r="A15" s="7">
        <v>9</v>
      </c>
      <c r="B15" s="12" t="s">
        <v>76</v>
      </c>
      <c r="C15" s="12" t="s">
        <v>30</v>
      </c>
      <c r="D15" s="8" t="s">
        <v>77</v>
      </c>
      <c r="E15" s="8" t="s">
        <v>78</v>
      </c>
      <c r="F15" s="12" t="s">
        <v>79</v>
      </c>
      <c r="G15" s="8" t="s">
        <v>80</v>
      </c>
      <c r="H15" s="8" t="s">
        <v>81</v>
      </c>
    </row>
    <row r="16" spans="1:8" ht="20.100000000000001" customHeight="1" x14ac:dyDescent="0.25">
      <c r="A16" s="9">
        <v>10</v>
      </c>
      <c r="B16" s="13" t="s">
        <v>82</v>
      </c>
      <c r="C16" s="13" t="s">
        <v>30</v>
      </c>
      <c r="D16" s="10" t="s">
        <v>83</v>
      </c>
      <c r="E16" s="10" t="s">
        <v>84</v>
      </c>
      <c r="F16" s="13" t="s">
        <v>85</v>
      </c>
      <c r="G16" s="10" t="s">
        <v>86</v>
      </c>
      <c r="H16" s="10" t="s">
        <v>87</v>
      </c>
    </row>
    <row r="17" spans="1:8" ht="20.100000000000001" customHeight="1" x14ac:dyDescent="0.25">
      <c r="A17" s="7">
        <v>11</v>
      </c>
      <c r="B17" s="12" t="s">
        <v>88</v>
      </c>
      <c r="C17" s="12" t="s">
        <v>30</v>
      </c>
      <c r="D17" s="8" t="s">
        <v>89</v>
      </c>
      <c r="E17" s="8" t="s">
        <v>90</v>
      </c>
      <c r="F17" s="12" t="s">
        <v>91</v>
      </c>
      <c r="G17" s="8" t="s">
        <v>92</v>
      </c>
      <c r="H17" s="8" t="s">
        <v>93</v>
      </c>
    </row>
    <row r="18" spans="1:8" ht="20.100000000000001" customHeight="1" x14ac:dyDescent="0.25">
      <c r="A18" s="9">
        <v>12</v>
      </c>
      <c r="B18" s="13" t="s">
        <v>94</v>
      </c>
      <c r="C18" s="13" t="s">
        <v>30</v>
      </c>
      <c r="D18" s="10" t="s">
        <v>95</v>
      </c>
      <c r="E18" s="10" t="s">
        <v>96</v>
      </c>
      <c r="F18" s="13" t="s">
        <v>97</v>
      </c>
      <c r="G18" s="10" t="s">
        <v>98</v>
      </c>
      <c r="H18" s="10" t="s">
        <v>99</v>
      </c>
    </row>
    <row r="19" spans="1:8" ht="20.100000000000001" customHeight="1" x14ac:dyDescent="0.25">
      <c r="A19" s="7">
        <v>13</v>
      </c>
      <c r="B19" s="12" t="s">
        <v>100</v>
      </c>
      <c r="C19" s="12" t="s">
        <v>30</v>
      </c>
      <c r="D19" s="8" t="s">
        <v>101</v>
      </c>
      <c r="E19" s="8" t="s">
        <v>102</v>
      </c>
      <c r="F19" s="12" t="s">
        <v>103</v>
      </c>
      <c r="G19" s="8" t="s">
        <v>104</v>
      </c>
      <c r="H19" s="8" t="s">
        <v>105</v>
      </c>
    </row>
    <row r="20" spans="1:8" ht="20.100000000000001" customHeight="1" x14ac:dyDescent="0.25">
      <c r="A20" s="9">
        <v>14</v>
      </c>
      <c r="B20" s="13" t="s">
        <v>106</v>
      </c>
      <c r="C20" s="13" t="s">
        <v>30</v>
      </c>
      <c r="D20" s="10" t="s">
        <v>107</v>
      </c>
      <c r="E20" s="10" t="s">
        <v>108</v>
      </c>
      <c r="F20" s="13" t="s">
        <v>109</v>
      </c>
      <c r="G20" s="10" t="s">
        <v>110</v>
      </c>
      <c r="H20" s="10" t="s">
        <v>111</v>
      </c>
    </row>
    <row r="21" spans="1:8" ht="20.100000000000001" customHeight="1" x14ac:dyDescent="0.25">
      <c r="A21" s="7">
        <v>15</v>
      </c>
      <c r="B21" s="12" t="s">
        <v>112</v>
      </c>
      <c r="C21" s="12" t="s">
        <v>30</v>
      </c>
      <c r="D21" s="8" t="s">
        <v>113</v>
      </c>
      <c r="E21" s="8" t="s">
        <v>114</v>
      </c>
      <c r="F21" s="12" t="s">
        <v>115</v>
      </c>
      <c r="G21" s="8" t="s">
        <v>116</v>
      </c>
      <c r="H21" s="8" t="s">
        <v>117</v>
      </c>
    </row>
    <row r="22" spans="1:8" ht="20.100000000000001" customHeight="1" x14ac:dyDescent="0.25">
      <c r="A22" s="9">
        <v>16</v>
      </c>
      <c r="B22" s="13" t="s">
        <v>118</v>
      </c>
      <c r="C22" s="13" t="s">
        <v>30</v>
      </c>
      <c r="D22" s="10" t="s">
        <v>119</v>
      </c>
      <c r="E22" s="10" t="s">
        <v>120</v>
      </c>
      <c r="F22" s="13" t="s">
        <v>121</v>
      </c>
      <c r="G22" s="10" t="s">
        <v>122</v>
      </c>
      <c r="H22" s="10" t="s">
        <v>123</v>
      </c>
    </row>
  </sheetData>
  <mergeCells count="1">
    <mergeCell ref="A4:H4"/>
  </mergeCells>
  <pageMargins left="0.75" right="0.75" top="1" bottom="1" header="0.5" footer="0.5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zoomScaleNormal="100" workbookViewId="0">
      <selection activeCell="G1" sqref="G1:G1048576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30" customWidth="1"/>
    <col min="5" max="5" width="26" customWidth="1"/>
    <col min="6" max="6" width="20" customWidth="1"/>
    <col min="7" max="8" width="24" customWidth="1"/>
  </cols>
  <sheetData>
    <row r="1" spans="1:8" ht="18" x14ac:dyDescent="0.25">
      <c r="A1" s="1" t="s">
        <v>0</v>
      </c>
    </row>
    <row r="2" spans="1:8" x14ac:dyDescent="0.25">
      <c r="A2" s="2" t="s">
        <v>20</v>
      </c>
    </row>
    <row r="4" spans="1:8" ht="24" customHeight="1" x14ac:dyDescent="0.25">
      <c r="A4" s="24" t="s">
        <v>124</v>
      </c>
      <c r="B4" s="25"/>
      <c r="C4" s="25"/>
      <c r="D4" s="25"/>
      <c r="E4" s="25"/>
      <c r="F4" s="25"/>
      <c r="G4" s="25"/>
      <c r="H4" s="25"/>
    </row>
    <row r="6" spans="1:8" ht="26.1" customHeight="1" x14ac:dyDescent="0.25">
      <c r="A6" s="6" t="s">
        <v>7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</row>
    <row r="7" spans="1:8" ht="20.100000000000001" customHeight="1" x14ac:dyDescent="0.25">
      <c r="A7" s="7">
        <v>1</v>
      </c>
      <c r="B7" s="12" t="s">
        <v>125</v>
      </c>
      <c r="C7" s="12" t="s">
        <v>126</v>
      </c>
      <c r="D7" s="8" t="s">
        <v>127</v>
      </c>
      <c r="E7" s="8" t="s">
        <v>128</v>
      </c>
      <c r="F7" s="12" t="s">
        <v>129</v>
      </c>
      <c r="G7" s="8" t="s">
        <v>130</v>
      </c>
      <c r="H7" s="8" t="s">
        <v>131</v>
      </c>
    </row>
    <row r="8" spans="1:8" ht="20.100000000000001" customHeight="1" x14ac:dyDescent="0.25">
      <c r="A8" s="9">
        <v>2</v>
      </c>
      <c r="B8" s="13" t="s">
        <v>132</v>
      </c>
      <c r="C8" s="13" t="s">
        <v>133</v>
      </c>
      <c r="D8" s="10" t="s">
        <v>134</v>
      </c>
      <c r="E8" s="10" t="s">
        <v>135</v>
      </c>
      <c r="F8" s="13" t="s">
        <v>136</v>
      </c>
      <c r="G8" s="10" t="s">
        <v>137</v>
      </c>
      <c r="H8" s="10" t="s">
        <v>138</v>
      </c>
    </row>
    <row r="9" spans="1:8" ht="20.100000000000001" customHeight="1" x14ac:dyDescent="0.25">
      <c r="A9" s="7">
        <v>3</v>
      </c>
      <c r="B9" s="12" t="s">
        <v>139</v>
      </c>
      <c r="C9" s="12" t="s">
        <v>140</v>
      </c>
      <c r="D9" s="8" t="s">
        <v>141</v>
      </c>
      <c r="E9" s="8" t="s">
        <v>142</v>
      </c>
      <c r="F9" s="12" t="s">
        <v>143</v>
      </c>
      <c r="G9" s="8" t="s">
        <v>144</v>
      </c>
      <c r="H9" s="8" t="s">
        <v>145</v>
      </c>
    </row>
    <row r="10" spans="1:8" ht="20.100000000000001" customHeight="1" x14ac:dyDescent="0.25">
      <c r="A10" s="9">
        <v>4</v>
      </c>
      <c r="B10" s="13" t="s">
        <v>146</v>
      </c>
      <c r="C10" s="13" t="s">
        <v>147</v>
      </c>
      <c r="D10" s="10" t="s">
        <v>148</v>
      </c>
      <c r="E10" s="10" t="s">
        <v>149</v>
      </c>
      <c r="F10" s="13" t="s">
        <v>150</v>
      </c>
      <c r="G10" s="10" t="s">
        <v>151</v>
      </c>
      <c r="H10" s="10" t="s">
        <v>152</v>
      </c>
    </row>
    <row r="11" spans="1:8" ht="20.100000000000001" customHeight="1" x14ac:dyDescent="0.25">
      <c r="A11" s="7">
        <v>5</v>
      </c>
      <c r="B11" s="12" t="s">
        <v>153</v>
      </c>
      <c r="C11" s="12" t="s">
        <v>154</v>
      </c>
      <c r="D11" s="8" t="s">
        <v>155</v>
      </c>
      <c r="E11" s="8" t="s">
        <v>156</v>
      </c>
      <c r="F11" s="12" t="s">
        <v>157</v>
      </c>
      <c r="G11" s="8" t="s">
        <v>158</v>
      </c>
      <c r="H11" s="8" t="s">
        <v>159</v>
      </c>
    </row>
    <row r="12" spans="1:8" ht="20.100000000000001" customHeight="1" x14ac:dyDescent="0.25">
      <c r="A12" s="9">
        <v>6</v>
      </c>
      <c r="B12" s="13" t="s">
        <v>160</v>
      </c>
      <c r="C12" s="13" t="s">
        <v>161</v>
      </c>
      <c r="D12" s="10" t="s">
        <v>162</v>
      </c>
      <c r="E12" s="10" t="s">
        <v>163</v>
      </c>
      <c r="F12" s="13" t="s">
        <v>164</v>
      </c>
      <c r="G12" s="10" t="s">
        <v>165</v>
      </c>
      <c r="H12" s="10" t="s">
        <v>166</v>
      </c>
    </row>
    <row r="13" spans="1:8" ht="20.100000000000001" customHeight="1" x14ac:dyDescent="0.25">
      <c r="A13" s="7">
        <v>7</v>
      </c>
      <c r="B13" s="12" t="s">
        <v>167</v>
      </c>
      <c r="C13" s="12" t="s">
        <v>168</v>
      </c>
      <c r="D13" s="8" t="s">
        <v>169</v>
      </c>
      <c r="E13" s="8" t="s">
        <v>170</v>
      </c>
      <c r="F13" s="12" t="s">
        <v>171</v>
      </c>
      <c r="G13" s="8" t="s">
        <v>172</v>
      </c>
      <c r="H13" s="8" t="s">
        <v>173</v>
      </c>
    </row>
    <row r="14" spans="1:8" ht="20.100000000000001" customHeight="1" x14ac:dyDescent="0.25">
      <c r="A14" s="9">
        <v>8</v>
      </c>
      <c r="B14" s="13" t="s">
        <v>174</v>
      </c>
      <c r="C14" s="13" t="s">
        <v>175</v>
      </c>
      <c r="D14" s="10" t="s">
        <v>176</v>
      </c>
      <c r="E14" s="10" t="s">
        <v>177</v>
      </c>
      <c r="F14" s="13" t="s">
        <v>178</v>
      </c>
      <c r="G14" s="10" t="s">
        <v>179</v>
      </c>
      <c r="H14" s="10" t="s">
        <v>180</v>
      </c>
    </row>
    <row r="15" spans="1:8" ht="20.100000000000001" customHeight="1" x14ac:dyDescent="0.25">
      <c r="A15" s="7">
        <v>9</v>
      </c>
      <c r="B15" s="12" t="s">
        <v>181</v>
      </c>
      <c r="C15" s="12" t="s">
        <v>182</v>
      </c>
      <c r="D15" s="8" t="s">
        <v>183</v>
      </c>
      <c r="E15" s="8" t="s">
        <v>184</v>
      </c>
      <c r="F15" s="12" t="s">
        <v>185</v>
      </c>
      <c r="G15" s="8" t="s">
        <v>186</v>
      </c>
      <c r="H15" s="8" t="s">
        <v>187</v>
      </c>
    </row>
    <row r="16" spans="1:8" ht="20.100000000000001" customHeight="1" x14ac:dyDescent="0.25">
      <c r="A16" s="9">
        <v>10</v>
      </c>
      <c r="B16" s="13" t="s">
        <v>188</v>
      </c>
      <c r="C16" s="13" t="s">
        <v>189</v>
      </c>
      <c r="D16" s="10" t="s">
        <v>190</v>
      </c>
      <c r="E16" s="10" t="s">
        <v>191</v>
      </c>
      <c r="F16" s="13" t="s">
        <v>192</v>
      </c>
      <c r="G16" s="10" t="s">
        <v>193</v>
      </c>
      <c r="H16" s="10" t="s">
        <v>194</v>
      </c>
    </row>
    <row r="17" spans="1:8" ht="20.100000000000001" customHeight="1" x14ac:dyDescent="0.25">
      <c r="A17" s="7">
        <v>11</v>
      </c>
      <c r="B17" s="12" t="s">
        <v>195</v>
      </c>
      <c r="C17" s="12" t="s">
        <v>196</v>
      </c>
      <c r="D17" s="8" t="s">
        <v>197</v>
      </c>
      <c r="E17" s="8" t="s">
        <v>198</v>
      </c>
      <c r="F17" s="12" t="s">
        <v>199</v>
      </c>
      <c r="G17" s="8" t="s">
        <v>200</v>
      </c>
      <c r="H17" s="8" t="s">
        <v>201</v>
      </c>
    </row>
    <row r="18" spans="1:8" ht="20.100000000000001" customHeight="1" x14ac:dyDescent="0.25">
      <c r="A18" s="9">
        <v>12</v>
      </c>
      <c r="B18" s="13" t="s">
        <v>202</v>
      </c>
      <c r="C18" s="13" t="s">
        <v>203</v>
      </c>
      <c r="D18" s="10" t="s">
        <v>204</v>
      </c>
      <c r="E18" s="10" t="s">
        <v>205</v>
      </c>
      <c r="F18" s="13" t="s">
        <v>206</v>
      </c>
      <c r="G18" s="10" t="s">
        <v>207</v>
      </c>
      <c r="H18" s="10" t="s">
        <v>208</v>
      </c>
    </row>
    <row r="19" spans="1:8" ht="20.100000000000001" customHeight="1" x14ac:dyDescent="0.25">
      <c r="A19" s="7">
        <v>13</v>
      </c>
      <c r="B19" s="12" t="s">
        <v>209</v>
      </c>
      <c r="C19" s="12" t="s">
        <v>210</v>
      </c>
      <c r="D19" s="8" t="s">
        <v>211</v>
      </c>
      <c r="E19" s="8" t="s">
        <v>212</v>
      </c>
      <c r="F19" s="12" t="s">
        <v>213</v>
      </c>
      <c r="G19" s="8" t="s">
        <v>214</v>
      </c>
      <c r="H19" s="8" t="s">
        <v>215</v>
      </c>
    </row>
    <row r="20" spans="1:8" ht="20.100000000000001" customHeight="1" x14ac:dyDescent="0.25">
      <c r="A20" s="9">
        <v>14</v>
      </c>
      <c r="B20" s="13" t="s">
        <v>216</v>
      </c>
      <c r="C20" s="13" t="s">
        <v>217</v>
      </c>
      <c r="D20" s="10" t="s">
        <v>218</v>
      </c>
      <c r="E20" s="10" t="s">
        <v>219</v>
      </c>
      <c r="F20" s="13" t="s">
        <v>220</v>
      </c>
      <c r="G20" s="10" t="s">
        <v>221</v>
      </c>
      <c r="H20" s="10" t="s">
        <v>222</v>
      </c>
    </row>
    <row r="21" spans="1:8" ht="20.100000000000001" customHeight="1" x14ac:dyDescent="0.25">
      <c r="A21" s="7">
        <v>15</v>
      </c>
      <c r="B21" s="12" t="s">
        <v>223</v>
      </c>
      <c r="C21" s="12" t="s">
        <v>224</v>
      </c>
      <c r="D21" s="8" t="s">
        <v>225</v>
      </c>
      <c r="E21" s="8" t="s">
        <v>226</v>
      </c>
      <c r="F21" s="12" t="s">
        <v>227</v>
      </c>
      <c r="G21" s="8" t="s">
        <v>228</v>
      </c>
      <c r="H21" s="8" t="s">
        <v>229</v>
      </c>
    </row>
    <row r="22" spans="1:8" ht="20.100000000000001" customHeight="1" x14ac:dyDescent="0.25">
      <c r="A22" s="9">
        <v>16</v>
      </c>
      <c r="B22" s="13" t="s">
        <v>230</v>
      </c>
      <c r="C22" s="13" t="s">
        <v>231</v>
      </c>
      <c r="D22" s="10" t="s">
        <v>232</v>
      </c>
      <c r="E22" s="10" t="s">
        <v>233</v>
      </c>
      <c r="F22" s="13" t="s">
        <v>234</v>
      </c>
      <c r="G22" s="10" t="s">
        <v>235</v>
      </c>
      <c r="H22" s="10" t="s">
        <v>236</v>
      </c>
    </row>
    <row r="23" spans="1:8" ht="20.100000000000001" customHeight="1" x14ac:dyDescent="0.25">
      <c r="A23" s="7">
        <v>17</v>
      </c>
      <c r="B23" s="12" t="s">
        <v>237</v>
      </c>
      <c r="C23" s="12" t="s">
        <v>238</v>
      </c>
      <c r="D23" s="8" t="s">
        <v>239</v>
      </c>
      <c r="E23" s="8" t="s">
        <v>240</v>
      </c>
      <c r="F23" s="12" t="s">
        <v>241</v>
      </c>
      <c r="G23" s="8" t="s">
        <v>242</v>
      </c>
      <c r="H23" s="8" t="s">
        <v>243</v>
      </c>
    </row>
    <row r="24" spans="1:8" ht="20.100000000000001" customHeight="1" x14ac:dyDescent="0.25">
      <c r="A24" s="9">
        <v>18</v>
      </c>
      <c r="B24" s="13" t="s">
        <v>244</v>
      </c>
      <c r="C24" s="13" t="s">
        <v>245</v>
      </c>
      <c r="D24" s="10" t="s">
        <v>246</v>
      </c>
      <c r="E24" s="10" t="s">
        <v>247</v>
      </c>
      <c r="F24" s="13" t="s">
        <v>30</v>
      </c>
      <c r="G24" s="10" t="s">
        <v>248</v>
      </c>
      <c r="H24" s="10" t="s">
        <v>249</v>
      </c>
    </row>
    <row r="25" spans="1:8" ht="20.100000000000001" customHeight="1" x14ac:dyDescent="0.25">
      <c r="A25" s="7">
        <v>19</v>
      </c>
      <c r="B25" s="12" t="s">
        <v>250</v>
      </c>
      <c r="C25" s="12" t="s">
        <v>251</v>
      </c>
      <c r="D25" s="8" t="s">
        <v>252</v>
      </c>
      <c r="E25" s="8" t="s">
        <v>253</v>
      </c>
      <c r="F25" s="12" t="s">
        <v>254</v>
      </c>
      <c r="G25" s="8" t="s">
        <v>255</v>
      </c>
      <c r="H25" s="8" t="s">
        <v>256</v>
      </c>
    </row>
    <row r="26" spans="1:8" ht="20.100000000000001" customHeight="1" x14ac:dyDescent="0.25">
      <c r="A26" s="9">
        <v>20</v>
      </c>
      <c r="B26" s="13" t="s">
        <v>257</v>
      </c>
      <c r="C26" s="13" t="s">
        <v>258</v>
      </c>
      <c r="D26" s="10" t="s">
        <v>259</v>
      </c>
      <c r="E26" s="10" t="s">
        <v>260</v>
      </c>
      <c r="F26" s="13" t="s">
        <v>261</v>
      </c>
      <c r="G26" s="10" t="s">
        <v>262</v>
      </c>
      <c r="H26" s="10" t="s">
        <v>263</v>
      </c>
    </row>
    <row r="27" spans="1:8" ht="20.100000000000001" customHeight="1" x14ac:dyDescent="0.25">
      <c r="A27" s="7">
        <v>21</v>
      </c>
      <c r="B27" s="12" t="s">
        <v>264</v>
      </c>
      <c r="C27" s="12" t="s">
        <v>265</v>
      </c>
      <c r="D27" s="8" t="s">
        <v>266</v>
      </c>
      <c r="E27" s="8" t="s">
        <v>267</v>
      </c>
      <c r="F27" s="12" t="s">
        <v>268</v>
      </c>
      <c r="G27" s="8" t="s">
        <v>269</v>
      </c>
      <c r="H27" s="8" t="s">
        <v>270</v>
      </c>
    </row>
    <row r="28" spans="1:8" ht="20.100000000000001" customHeight="1" x14ac:dyDescent="0.25">
      <c r="A28" s="9">
        <v>22</v>
      </c>
      <c r="B28" s="13" t="s">
        <v>271</v>
      </c>
      <c r="C28" s="13" t="s">
        <v>272</v>
      </c>
      <c r="D28" s="10" t="s">
        <v>273</v>
      </c>
      <c r="E28" s="10" t="s">
        <v>274</v>
      </c>
      <c r="F28" s="13" t="s">
        <v>30</v>
      </c>
      <c r="G28" s="10" t="s">
        <v>248</v>
      </c>
      <c r="H28" s="10" t="s">
        <v>249</v>
      </c>
    </row>
    <row r="29" spans="1:8" ht="20.100000000000001" customHeight="1" x14ac:dyDescent="0.25">
      <c r="A29" s="7">
        <v>23</v>
      </c>
      <c r="B29" s="12" t="s">
        <v>275</v>
      </c>
      <c r="C29" s="12" t="s">
        <v>276</v>
      </c>
      <c r="D29" s="8" t="s">
        <v>277</v>
      </c>
      <c r="E29" s="8" t="s">
        <v>278</v>
      </c>
      <c r="F29" s="12" t="s">
        <v>279</v>
      </c>
      <c r="G29" s="8" t="s">
        <v>280</v>
      </c>
      <c r="H29" s="8" t="s">
        <v>281</v>
      </c>
    </row>
    <row r="30" spans="1:8" ht="20.100000000000001" customHeight="1" x14ac:dyDescent="0.25">
      <c r="A30" s="9">
        <v>24</v>
      </c>
      <c r="B30" s="13" t="s">
        <v>282</v>
      </c>
      <c r="C30" s="13" t="s">
        <v>283</v>
      </c>
      <c r="D30" s="10" t="s">
        <v>284</v>
      </c>
      <c r="E30" s="10" t="s">
        <v>285</v>
      </c>
      <c r="F30" s="13" t="s">
        <v>286</v>
      </c>
      <c r="G30" s="10" t="s">
        <v>287</v>
      </c>
      <c r="H30" s="10" t="s">
        <v>288</v>
      </c>
    </row>
    <row r="31" spans="1:8" ht="20.100000000000001" customHeight="1" x14ac:dyDescent="0.25">
      <c r="A31" s="7">
        <v>25</v>
      </c>
      <c r="B31" s="12" t="s">
        <v>289</v>
      </c>
      <c r="C31" s="12" t="s">
        <v>290</v>
      </c>
      <c r="D31" s="8" t="s">
        <v>291</v>
      </c>
      <c r="E31" s="8" t="s">
        <v>292</v>
      </c>
      <c r="F31" s="12" t="s">
        <v>293</v>
      </c>
      <c r="G31" s="8" t="s">
        <v>294</v>
      </c>
      <c r="H31" s="8" t="s">
        <v>295</v>
      </c>
    </row>
    <row r="32" spans="1:8" ht="20.100000000000001" customHeight="1" x14ac:dyDescent="0.25">
      <c r="A32" s="9">
        <v>26</v>
      </c>
      <c r="B32" s="13" t="s">
        <v>296</v>
      </c>
      <c r="C32" s="13" t="s">
        <v>297</v>
      </c>
      <c r="D32" s="10" t="s">
        <v>298</v>
      </c>
      <c r="E32" s="10" t="s">
        <v>299</v>
      </c>
      <c r="F32" s="13" t="s">
        <v>300</v>
      </c>
      <c r="G32" s="10" t="s">
        <v>92</v>
      </c>
      <c r="H32" s="10" t="s">
        <v>93</v>
      </c>
    </row>
    <row r="33" spans="1:8" ht="20.100000000000001" customHeight="1" x14ac:dyDescent="0.25">
      <c r="A33" s="7">
        <v>27</v>
      </c>
      <c r="B33" s="12" t="s">
        <v>301</v>
      </c>
      <c r="C33" s="12" t="s">
        <v>302</v>
      </c>
      <c r="D33" s="8" t="s">
        <v>303</v>
      </c>
      <c r="E33" s="8" t="s">
        <v>304</v>
      </c>
      <c r="F33" s="12" t="s">
        <v>305</v>
      </c>
      <c r="G33" s="8" t="s">
        <v>306</v>
      </c>
      <c r="H33" s="8" t="s">
        <v>307</v>
      </c>
    </row>
  </sheetData>
  <mergeCells count="1">
    <mergeCell ref="A4:H4"/>
  </mergeCells>
  <pageMargins left="0.75" right="0.75" top="1" bottom="1" header="0.5" footer="0.5"/>
  <pageSetup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zoomScaleNormal="100" workbookViewId="0">
      <selection activeCell="G1" sqref="G1:G1048576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30" customWidth="1"/>
    <col min="5" max="5" width="26" customWidth="1"/>
    <col min="6" max="6" width="20" customWidth="1"/>
    <col min="7" max="8" width="24" customWidth="1"/>
  </cols>
  <sheetData>
    <row r="1" spans="1:8" ht="18" x14ac:dyDescent="0.25">
      <c r="A1" s="1" t="s">
        <v>0</v>
      </c>
    </row>
    <row r="2" spans="1:8" x14ac:dyDescent="0.25">
      <c r="A2" s="2" t="s">
        <v>20</v>
      </c>
    </row>
    <row r="4" spans="1:8" ht="24" customHeight="1" x14ac:dyDescent="0.25">
      <c r="A4" s="24" t="s">
        <v>308</v>
      </c>
      <c r="B4" s="25"/>
      <c r="C4" s="25"/>
      <c r="D4" s="25"/>
      <c r="E4" s="25"/>
      <c r="F4" s="25"/>
      <c r="G4" s="25"/>
      <c r="H4" s="25"/>
    </row>
    <row r="6" spans="1:8" ht="26.1" customHeight="1" x14ac:dyDescent="0.25">
      <c r="A6" s="6" t="s">
        <v>7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</row>
    <row r="7" spans="1:8" ht="20.100000000000001" customHeight="1" x14ac:dyDescent="0.25">
      <c r="A7" s="7">
        <v>1</v>
      </c>
      <c r="B7" s="12" t="s">
        <v>309</v>
      </c>
      <c r="C7" s="12" t="s">
        <v>310</v>
      </c>
      <c r="D7" s="8" t="s">
        <v>311</v>
      </c>
      <c r="E7" s="8" t="s">
        <v>312</v>
      </c>
      <c r="F7" s="12" t="s">
        <v>313</v>
      </c>
      <c r="G7" s="8" t="s">
        <v>314</v>
      </c>
      <c r="H7" s="8" t="s">
        <v>315</v>
      </c>
    </row>
    <row r="8" spans="1:8" ht="20.100000000000001" customHeight="1" x14ac:dyDescent="0.25">
      <c r="A8" s="9">
        <v>2</v>
      </c>
      <c r="B8" s="13" t="s">
        <v>316</v>
      </c>
      <c r="C8" s="13" t="s">
        <v>317</v>
      </c>
      <c r="D8" s="10" t="s">
        <v>318</v>
      </c>
      <c r="E8" s="10" t="s">
        <v>319</v>
      </c>
      <c r="F8" s="13" t="s">
        <v>30</v>
      </c>
      <c r="G8" s="10" t="s">
        <v>30</v>
      </c>
      <c r="H8" s="10" t="s">
        <v>320</v>
      </c>
    </row>
    <row r="9" spans="1:8" ht="20.100000000000001" customHeight="1" x14ac:dyDescent="0.25">
      <c r="A9" s="7">
        <v>3</v>
      </c>
      <c r="B9" s="12" t="s">
        <v>321</v>
      </c>
      <c r="C9" s="12" t="s">
        <v>322</v>
      </c>
      <c r="D9" s="8" t="s">
        <v>323</v>
      </c>
      <c r="E9" s="8" t="s">
        <v>324</v>
      </c>
      <c r="F9" s="12" t="s">
        <v>30</v>
      </c>
      <c r="G9" s="8" t="s">
        <v>30</v>
      </c>
      <c r="H9" s="8" t="s">
        <v>325</v>
      </c>
    </row>
    <row r="10" spans="1:8" ht="20.100000000000001" customHeight="1" x14ac:dyDescent="0.25">
      <c r="A10" s="9">
        <v>4</v>
      </c>
      <c r="B10" s="13" t="s">
        <v>326</v>
      </c>
      <c r="C10" s="13" t="s">
        <v>327</v>
      </c>
      <c r="D10" s="10" t="s">
        <v>328</v>
      </c>
      <c r="E10" s="10" t="s">
        <v>329</v>
      </c>
      <c r="F10" s="13" t="s">
        <v>30</v>
      </c>
      <c r="G10" s="10" t="s">
        <v>30</v>
      </c>
      <c r="H10" s="10" t="s">
        <v>330</v>
      </c>
    </row>
    <row r="11" spans="1:8" ht="20.100000000000001" customHeight="1" x14ac:dyDescent="0.25">
      <c r="A11" s="7">
        <v>5</v>
      </c>
      <c r="B11" s="12" t="s">
        <v>331</v>
      </c>
      <c r="C11" s="12" t="s">
        <v>332</v>
      </c>
      <c r="D11" s="8" t="s">
        <v>333</v>
      </c>
      <c r="E11" s="8" t="s">
        <v>334</v>
      </c>
      <c r="F11" s="12" t="s">
        <v>30</v>
      </c>
      <c r="G11" s="8" t="s">
        <v>30</v>
      </c>
      <c r="H11" s="8" t="s">
        <v>335</v>
      </c>
    </row>
    <row r="12" spans="1:8" ht="20.100000000000001" customHeight="1" x14ac:dyDescent="0.25">
      <c r="A12" s="9">
        <v>6</v>
      </c>
      <c r="B12" s="13" t="s">
        <v>336</v>
      </c>
      <c r="C12" s="13" t="s">
        <v>337</v>
      </c>
      <c r="D12" s="10" t="s">
        <v>338</v>
      </c>
      <c r="E12" s="10" t="s">
        <v>339</v>
      </c>
      <c r="F12" s="13" t="s">
        <v>30</v>
      </c>
      <c r="G12" s="10" t="s">
        <v>30</v>
      </c>
      <c r="H12" s="10" t="s">
        <v>117</v>
      </c>
    </row>
    <row r="13" spans="1:8" ht="20.100000000000001" customHeight="1" x14ac:dyDescent="0.25">
      <c r="A13" s="7">
        <v>7</v>
      </c>
      <c r="B13" s="12" t="s">
        <v>340</v>
      </c>
      <c r="C13" s="12" t="s">
        <v>341</v>
      </c>
      <c r="D13" s="8" t="s">
        <v>342</v>
      </c>
      <c r="E13" s="8" t="s">
        <v>343</v>
      </c>
      <c r="F13" s="12" t="s">
        <v>344</v>
      </c>
      <c r="G13" s="8" t="s">
        <v>345</v>
      </c>
      <c r="H13" s="8" t="s">
        <v>346</v>
      </c>
    </row>
    <row r="14" spans="1:8" ht="20.100000000000001" customHeight="1" x14ac:dyDescent="0.25">
      <c r="A14" s="9">
        <v>8</v>
      </c>
      <c r="B14" s="13" t="s">
        <v>347</v>
      </c>
      <c r="C14" s="13" t="s">
        <v>348</v>
      </c>
      <c r="D14" s="10" t="s">
        <v>349</v>
      </c>
      <c r="E14" s="10" t="s">
        <v>350</v>
      </c>
      <c r="F14" s="13" t="s">
        <v>30</v>
      </c>
      <c r="G14" s="10" t="s">
        <v>30</v>
      </c>
      <c r="H14" s="10" t="s">
        <v>351</v>
      </c>
    </row>
    <row r="15" spans="1:8" ht="20.100000000000001" customHeight="1" x14ac:dyDescent="0.25">
      <c r="A15" s="7">
        <v>9</v>
      </c>
      <c r="B15" s="12" t="s">
        <v>352</v>
      </c>
      <c r="C15" s="12" t="s">
        <v>353</v>
      </c>
      <c r="D15" s="8" t="s">
        <v>354</v>
      </c>
      <c r="E15" s="8" t="s">
        <v>355</v>
      </c>
      <c r="F15" s="12" t="s">
        <v>30</v>
      </c>
      <c r="G15" s="8" t="s">
        <v>30</v>
      </c>
      <c r="H15" s="8" t="s">
        <v>356</v>
      </c>
    </row>
    <row r="16" spans="1:8" ht="20.100000000000001" customHeight="1" x14ac:dyDescent="0.25">
      <c r="A16" s="9">
        <v>10</v>
      </c>
      <c r="B16" s="13" t="s">
        <v>357</v>
      </c>
      <c r="C16" s="13" t="s">
        <v>358</v>
      </c>
      <c r="D16" s="10" t="s">
        <v>359</v>
      </c>
      <c r="E16" s="10" t="s">
        <v>360</v>
      </c>
      <c r="F16" s="13" t="s">
        <v>30</v>
      </c>
      <c r="G16" s="10" t="s">
        <v>30</v>
      </c>
      <c r="H16" s="10" t="s">
        <v>361</v>
      </c>
    </row>
    <row r="17" spans="1:8" ht="20.100000000000001" customHeight="1" x14ac:dyDescent="0.25">
      <c r="A17" s="7">
        <v>11</v>
      </c>
      <c r="B17" s="12" t="s">
        <v>362</v>
      </c>
      <c r="C17" s="12" t="s">
        <v>363</v>
      </c>
      <c r="D17" s="8" t="s">
        <v>364</v>
      </c>
      <c r="E17" s="8" t="s">
        <v>365</v>
      </c>
      <c r="F17" s="12" t="s">
        <v>30</v>
      </c>
      <c r="G17" s="8" t="s">
        <v>30</v>
      </c>
      <c r="H17" s="8" t="s">
        <v>366</v>
      </c>
    </row>
    <row r="18" spans="1:8" ht="20.100000000000001" customHeight="1" x14ac:dyDescent="0.25">
      <c r="A18" s="9">
        <v>12</v>
      </c>
      <c r="B18" s="13" t="s">
        <v>367</v>
      </c>
      <c r="C18" s="13" t="s">
        <v>368</v>
      </c>
      <c r="D18" s="10" t="s">
        <v>369</v>
      </c>
      <c r="E18" s="10" t="s">
        <v>370</v>
      </c>
      <c r="F18" s="13" t="s">
        <v>30</v>
      </c>
      <c r="G18" s="10" t="s">
        <v>30</v>
      </c>
      <c r="H18" s="10" t="s">
        <v>371</v>
      </c>
    </row>
    <row r="19" spans="1:8" ht="20.100000000000001" customHeight="1" x14ac:dyDescent="0.25">
      <c r="A19" s="7">
        <v>13</v>
      </c>
      <c r="B19" s="12" t="s">
        <v>372</v>
      </c>
      <c r="C19" s="12" t="s">
        <v>373</v>
      </c>
      <c r="D19" s="8" t="s">
        <v>374</v>
      </c>
      <c r="E19" s="8" t="s">
        <v>375</v>
      </c>
      <c r="F19" s="12" t="s">
        <v>30</v>
      </c>
      <c r="G19" s="8" t="s">
        <v>30</v>
      </c>
      <c r="H19" s="8" t="s">
        <v>376</v>
      </c>
    </row>
    <row r="20" spans="1:8" ht="20.100000000000001" customHeight="1" x14ac:dyDescent="0.25">
      <c r="A20" s="9">
        <v>14</v>
      </c>
      <c r="B20" s="13" t="s">
        <v>377</v>
      </c>
      <c r="C20" s="13" t="s">
        <v>378</v>
      </c>
      <c r="D20" s="10" t="s">
        <v>379</v>
      </c>
      <c r="E20" s="10" t="s">
        <v>380</v>
      </c>
      <c r="F20" s="13" t="s">
        <v>30</v>
      </c>
      <c r="G20" s="10" t="s">
        <v>30</v>
      </c>
      <c r="H20" s="10" t="s">
        <v>381</v>
      </c>
    </row>
    <row r="21" spans="1:8" ht="20.100000000000001" customHeight="1" x14ac:dyDescent="0.25">
      <c r="A21" s="7">
        <v>15</v>
      </c>
      <c r="B21" s="12" t="s">
        <v>382</v>
      </c>
      <c r="C21" s="12" t="s">
        <v>383</v>
      </c>
      <c r="D21" s="8" t="s">
        <v>384</v>
      </c>
      <c r="E21" s="8" t="s">
        <v>385</v>
      </c>
      <c r="F21" s="12" t="s">
        <v>30</v>
      </c>
      <c r="G21" s="8" t="s">
        <v>30</v>
      </c>
      <c r="H21" s="8" t="s">
        <v>386</v>
      </c>
    </row>
    <row r="22" spans="1:8" ht="20.100000000000001" customHeight="1" x14ac:dyDescent="0.25">
      <c r="A22" s="9">
        <v>16</v>
      </c>
      <c r="B22" s="13" t="s">
        <v>387</v>
      </c>
      <c r="C22" s="13" t="s">
        <v>388</v>
      </c>
      <c r="D22" s="10" t="s">
        <v>389</v>
      </c>
      <c r="E22" s="10" t="s">
        <v>390</v>
      </c>
      <c r="F22" s="13" t="s">
        <v>30</v>
      </c>
      <c r="G22" s="10" t="s">
        <v>30</v>
      </c>
      <c r="H22" s="10" t="s">
        <v>391</v>
      </c>
    </row>
    <row r="23" spans="1:8" ht="20.100000000000001" customHeight="1" x14ac:dyDescent="0.25">
      <c r="A23" s="7">
        <v>17</v>
      </c>
      <c r="B23" s="12" t="s">
        <v>392</v>
      </c>
      <c r="C23" s="12" t="s">
        <v>393</v>
      </c>
      <c r="D23" s="8" t="s">
        <v>394</v>
      </c>
      <c r="E23" s="8" t="s">
        <v>395</v>
      </c>
      <c r="F23" s="12" t="s">
        <v>30</v>
      </c>
      <c r="G23" s="8" t="s">
        <v>30</v>
      </c>
      <c r="H23" s="8" t="s">
        <v>396</v>
      </c>
    </row>
    <row r="24" spans="1:8" ht="20.100000000000001" customHeight="1" x14ac:dyDescent="0.25">
      <c r="A24" s="9">
        <v>18</v>
      </c>
      <c r="B24" s="13" t="s">
        <v>397</v>
      </c>
      <c r="C24" s="13" t="s">
        <v>398</v>
      </c>
      <c r="D24" s="10" t="s">
        <v>399</v>
      </c>
      <c r="E24" s="10" t="s">
        <v>400</v>
      </c>
      <c r="F24" s="13" t="s">
        <v>401</v>
      </c>
      <c r="G24" s="10" t="s">
        <v>402</v>
      </c>
      <c r="H24" s="10" t="s">
        <v>403</v>
      </c>
    </row>
    <row r="25" spans="1:8" ht="20.100000000000001" customHeight="1" x14ac:dyDescent="0.25">
      <c r="A25" s="7">
        <v>19</v>
      </c>
      <c r="B25" s="12" t="s">
        <v>404</v>
      </c>
      <c r="C25" s="12" t="s">
        <v>405</v>
      </c>
      <c r="D25" s="8" t="s">
        <v>406</v>
      </c>
      <c r="E25" s="8" t="s">
        <v>407</v>
      </c>
      <c r="F25" s="12" t="s">
        <v>30</v>
      </c>
      <c r="G25" s="8" t="s">
        <v>30</v>
      </c>
      <c r="H25" s="8" t="s">
        <v>30</v>
      </c>
    </row>
    <row r="26" spans="1:8" ht="20.100000000000001" customHeight="1" x14ac:dyDescent="0.25">
      <c r="A26" s="9">
        <v>20</v>
      </c>
      <c r="B26" s="13" t="s">
        <v>408</v>
      </c>
      <c r="C26" s="13" t="s">
        <v>409</v>
      </c>
      <c r="D26" s="10" t="s">
        <v>410</v>
      </c>
      <c r="E26" s="10" t="s">
        <v>411</v>
      </c>
      <c r="F26" s="13" t="s">
        <v>30</v>
      </c>
      <c r="G26" s="10" t="s">
        <v>30</v>
      </c>
      <c r="H26" s="10" t="s">
        <v>412</v>
      </c>
    </row>
    <row r="27" spans="1:8" ht="20.100000000000001" customHeight="1" x14ac:dyDescent="0.25">
      <c r="A27" s="7">
        <v>21</v>
      </c>
      <c r="B27" s="12" t="s">
        <v>413</v>
      </c>
      <c r="C27" s="12" t="s">
        <v>414</v>
      </c>
      <c r="D27" s="8" t="s">
        <v>415</v>
      </c>
      <c r="E27" s="8" t="s">
        <v>416</v>
      </c>
      <c r="F27" s="12" t="s">
        <v>417</v>
      </c>
      <c r="G27" s="8" t="s">
        <v>104</v>
      </c>
      <c r="H27" s="8" t="s">
        <v>105</v>
      </c>
    </row>
    <row r="28" spans="1:8" ht="20.100000000000001" customHeight="1" x14ac:dyDescent="0.25">
      <c r="A28" s="9">
        <v>22</v>
      </c>
      <c r="B28" s="13" t="s">
        <v>418</v>
      </c>
      <c r="C28" s="13" t="s">
        <v>419</v>
      </c>
      <c r="D28" s="10" t="s">
        <v>420</v>
      </c>
      <c r="E28" s="10" t="s">
        <v>421</v>
      </c>
      <c r="F28" s="13" t="s">
        <v>30</v>
      </c>
      <c r="G28" s="10" t="s">
        <v>30</v>
      </c>
      <c r="H28" s="10" t="s">
        <v>422</v>
      </c>
    </row>
    <row r="29" spans="1:8" ht="20.100000000000001" customHeight="1" x14ac:dyDescent="0.25">
      <c r="A29" s="7">
        <v>23</v>
      </c>
      <c r="B29" s="12" t="s">
        <v>423</v>
      </c>
      <c r="C29" s="12" t="s">
        <v>424</v>
      </c>
      <c r="D29" s="8" t="s">
        <v>425</v>
      </c>
      <c r="E29" s="8" t="s">
        <v>426</v>
      </c>
      <c r="F29" s="12" t="s">
        <v>30</v>
      </c>
      <c r="G29" s="8" t="s">
        <v>30</v>
      </c>
      <c r="H29" s="8" t="s">
        <v>59</v>
      </c>
    </row>
  </sheetData>
  <mergeCells count="1">
    <mergeCell ref="A4:H4"/>
  </mergeCells>
  <pageMargins left="0.75" right="0.75" top="1" bottom="1" header="0.5" footer="0.5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zoomScaleNormal="100" workbookViewId="0">
      <selection activeCell="G1" sqref="G1:G1048576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30" customWidth="1"/>
    <col min="5" max="5" width="26" customWidth="1"/>
    <col min="6" max="6" width="20" customWidth="1"/>
    <col min="7" max="8" width="24" customWidth="1"/>
  </cols>
  <sheetData>
    <row r="1" spans="1:8" ht="18" x14ac:dyDescent="0.25">
      <c r="A1" s="1" t="s">
        <v>0</v>
      </c>
    </row>
    <row r="2" spans="1:8" x14ac:dyDescent="0.25">
      <c r="A2" s="2" t="s">
        <v>20</v>
      </c>
    </row>
    <row r="4" spans="1:8" ht="24" customHeight="1" x14ac:dyDescent="0.25">
      <c r="A4" s="24" t="s">
        <v>427</v>
      </c>
      <c r="B4" s="25"/>
      <c r="C4" s="25"/>
      <c r="D4" s="25"/>
      <c r="E4" s="25"/>
      <c r="F4" s="25"/>
      <c r="G4" s="25"/>
      <c r="H4" s="25"/>
    </row>
    <row r="6" spans="1:8" ht="26.1" customHeight="1" x14ac:dyDescent="0.25">
      <c r="A6" s="6" t="s">
        <v>7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</row>
    <row r="7" spans="1:8" ht="20.100000000000001" customHeight="1" x14ac:dyDescent="0.25">
      <c r="A7" s="7">
        <v>1</v>
      </c>
      <c r="B7" s="12" t="s">
        <v>428</v>
      </c>
      <c r="C7" s="12" t="s">
        <v>429</v>
      </c>
      <c r="D7" s="8" t="s">
        <v>430</v>
      </c>
      <c r="E7" s="8" t="s">
        <v>431</v>
      </c>
      <c r="F7" s="12" t="s">
        <v>432</v>
      </c>
      <c r="G7" s="8" t="s">
        <v>433</v>
      </c>
      <c r="H7" s="8" t="s">
        <v>434</v>
      </c>
    </row>
    <row r="8" spans="1:8" ht="20.100000000000001" customHeight="1" x14ac:dyDescent="0.25">
      <c r="A8" s="9">
        <v>2</v>
      </c>
      <c r="B8" s="13" t="s">
        <v>435</v>
      </c>
      <c r="C8" s="13" t="s">
        <v>436</v>
      </c>
      <c r="D8" s="10" t="s">
        <v>437</v>
      </c>
      <c r="E8" s="10" t="s">
        <v>438</v>
      </c>
      <c r="F8" s="13" t="s">
        <v>30</v>
      </c>
      <c r="G8" s="10" t="s">
        <v>30</v>
      </c>
      <c r="H8" s="10" t="s">
        <v>439</v>
      </c>
    </row>
    <row r="9" spans="1:8" ht="20.100000000000001" customHeight="1" x14ac:dyDescent="0.25">
      <c r="A9" s="7">
        <v>3</v>
      </c>
      <c r="B9" s="12" t="s">
        <v>440</v>
      </c>
      <c r="C9" s="12" t="s">
        <v>441</v>
      </c>
      <c r="D9" s="8" t="s">
        <v>442</v>
      </c>
      <c r="E9" s="8" t="s">
        <v>443</v>
      </c>
      <c r="F9" s="12" t="s">
        <v>444</v>
      </c>
      <c r="G9" s="8" t="s">
        <v>445</v>
      </c>
      <c r="H9" s="8" t="s">
        <v>446</v>
      </c>
    </row>
    <row r="10" spans="1:8" ht="20.100000000000001" customHeight="1" x14ac:dyDescent="0.25">
      <c r="A10" s="9">
        <v>4</v>
      </c>
      <c r="B10" s="13" t="s">
        <v>447</v>
      </c>
      <c r="C10" s="13" t="s">
        <v>448</v>
      </c>
      <c r="D10" s="10" t="s">
        <v>449</v>
      </c>
      <c r="E10" s="10" t="s">
        <v>450</v>
      </c>
      <c r="F10" s="13" t="s">
        <v>451</v>
      </c>
      <c r="G10" s="10" t="s">
        <v>452</v>
      </c>
      <c r="H10" s="10" t="s">
        <v>453</v>
      </c>
    </row>
    <row r="11" spans="1:8" ht="20.100000000000001" customHeight="1" x14ac:dyDescent="0.25">
      <c r="A11" s="7">
        <v>5</v>
      </c>
      <c r="B11" s="12" t="s">
        <v>454</v>
      </c>
      <c r="C11" s="12" t="s">
        <v>455</v>
      </c>
      <c r="D11" s="8" t="s">
        <v>456</v>
      </c>
      <c r="E11" s="8" t="s">
        <v>457</v>
      </c>
      <c r="F11" s="12" t="s">
        <v>458</v>
      </c>
      <c r="G11" s="8" t="s">
        <v>459</v>
      </c>
      <c r="H11" s="8" t="s">
        <v>460</v>
      </c>
    </row>
    <row r="12" spans="1:8" ht="20.100000000000001" customHeight="1" x14ac:dyDescent="0.25">
      <c r="A12" s="9">
        <v>6</v>
      </c>
      <c r="B12" s="13" t="s">
        <v>461</v>
      </c>
      <c r="C12" s="13" t="s">
        <v>462</v>
      </c>
      <c r="D12" s="10" t="s">
        <v>463</v>
      </c>
      <c r="E12" s="10" t="s">
        <v>464</v>
      </c>
      <c r="F12" s="13" t="s">
        <v>465</v>
      </c>
      <c r="G12" s="10" t="s">
        <v>466</v>
      </c>
      <c r="H12" s="10" t="s">
        <v>467</v>
      </c>
    </row>
    <row r="13" spans="1:8" ht="20.100000000000001" customHeight="1" x14ac:dyDescent="0.25">
      <c r="A13" s="7">
        <v>7</v>
      </c>
      <c r="B13" s="12" t="s">
        <v>468</v>
      </c>
      <c r="C13" s="12" t="s">
        <v>469</v>
      </c>
      <c r="D13" s="8" t="s">
        <v>470</v>
      </c>
      <c r="E13" s="8" t="s">
        <v>471</v>
      </c>
      <c r="F13" s="12" t="s">
        <v>192</v>
      </c>
      <c r="G13" s="8" t="s">
        <v>472</v>
      </c>
      <c r="H13" s="8" t="s">
        <v>473</v>
      </c>
    </row>
    <row r="14" spans="1:8" ht="20.100000000000001" customHeight="1" x14ac:dyDescent="0.25">
      <c r="A14" s="9">
        <v>8</v>
      </c>
      <c r="B14" s="13" t="s">
        <v>474</v>
      </c>
      <c r="C14" s="13" t="s">
        <v>475</v>
      </c>
      <c r="D14" s="10" t="s">
        <v>476</v>
      </c>
      <c r="E14" s="10" t="s">
        <v>477</v>
      </c>
      <c r="F14" s="13" t="s">
        <v>30</v>
      </c>
      <c r="G14" s="10" t="s">
        <v>30</v>
      </c>
      <c r="H14" s="10" t="s">
        <v>478</v>
      </c>
    </row>
    <row r="15" spans="1:8" ht="20.100000000000001" customHeight="1" x14ac:dyDescent="0.25">
      <c r="A15" s="7">
        <v>9</v>
      </c>
      <c r="B15" s="12" t="s">
        <v>479</v>
      </c>
      <c r="C15" s="12" t="s">
        <v>480</v>
      </c>
      <c r="D15" s="8" t="s">
        <v>481</v>
      </c>
      <c r="E15" s="8" t="s">
        <v>482</v>
      </c>
      <c r="F15" s="12" t="s">
        <v>483</v>
      </c>
      <c r="G15" s="8" t="s">
        <v>484</v>
      </c>
      <c r="H15" s="8" t="s">
        <v>485</v>
      </c>
    </row>
    <row r="16" spans="1:8" ht="20.100000000000001" customHeight="1" x14ac:dyDescent="0.25">
      <c r="A16" s="9">
        <v>10</v>
      </c>
      <c r="B16" s="13" t="s">
        <v>486</v>
      </c>
      <c r="C16" s="13" t="s">
        <v>487</v>
      </c>
      <c r="D16" s="10" t="s">
        <v>488</v>
      </c>
      <c r="E16" s="10" t="s">
        <v>489</v>
      </c>
      <c r="F16" s="13" t="s">
        <v>30</v>
      </c>
      <c r="G16" s="10" t="s">
        <v>490</v>
      </c>
      <c r="H16" s="10" t="s">
        <v>491</v>
      </c>
    </row>
    <row r="17" spans="1:8" ht="20.100000000000001" customHeight="1" x14ac:dyDescent="0.25">
      <c r="A17" s="7">
        <v>11</v>
      </c>
      <c r="B17" s="12" t="s">
        <v>492</v>
      </c>
      <c r="C17" s="12" t="s">
        <v>493</v>
      </c>
      <c r="D17" s="8" t="s">
        <v>494</v>
      </c>
      <c r="E17" s="8" t="s">
        <v>495</v>
      </c>
      <c r="F17" s="12" t="s">
        <v>496</v>
      </c>
      <c r="G17" s="8" t="s">
        <v>497</v>
      </c>
      <c r="H17" s="8" t="s">
        <v>498</v>
      </c>
    </row>
    <row r="18" spans="1:8" ht="20.100000000000001" customHeight="1" x14ac:dyDescent="0.25">
      <c r="A18" s="9">
        <v>12</v>
      </c>
      <c r="B18" s="13" t="s">
        <v>499</v>
      </c>
      <c r="C18" s="13" t="s">
        <v>500</v>
      </c>
      <c r="D18" s="10" t="s">
        <v>501</v>
      </c>
      <c r="E18" s="10" t="s">
        <v>502</v>
      </c>
      <c r="F18" s="13" t="s">
        <v>503</v>
      </c>
      <c r="G18" s="10" t="s">
        <v>504</v>
      </c>
      <c r="H18" s="10" t="s">
        <v>505</v>
      </c>
    </row>
    <row r="19" spans="1:8" ht="20.100000000000001" customHeight="1" x14ac:dyDescent="0.25">
      <c r="A19" s="7">
        <v>13</v>
      </c>
      <c r="B19" s="12" t="s">
        <v>506</v>
      </c>
      <c r="C19" s="12" t="s">
        <v>507</v>
      </c>
      <c r="D19" s="8" t="s">
        <v>508</v>
      </c>
      <c r="E19" s="8" t="s">
        <v>509</v>
      </c>
      <c r="F19" s="12" t="s">
        <v>30</v>
      </c>
      <c r="G19" s="8" t="s">
        <v>30</v>
      </c>
      <c r="H19" s="8" t="s">
        <v>510</v>
      </c>
    </row>
    <row r="20" spans="1:8" ht="20.100000000000001" customHeight="1" x14ac:dyDescent="0.25">
      <c r="A20" s="9">
        <v>14</v>
      </c>
      <c r="B20" s="13" t="s">
        <v>511</v>
      </c>
      <c r="C20" s="13" t="s">
        <v>512</v>
      </c>
      <c r="D20" s="10" t="s">
        <v>513</v>
      </c>
      <c r="E20" s="10" t="s">
        <v>514</v>
      </c>
      <c r="F20" s="13" t="s">
        <v>515</v>
      </c>
      <c r="G20" s="10" t="s">
        <v>516</v>
      </c>
      <c r="H20" s="10" t="s">
        <v>517</v>
      </c>
    </row>
    <row r="21" spans="1:8" ht="20.100000000000001" customHeight="1" x14ac:dyDescent="0.25">
      <c r="A21" s="7">
        <v>15</v>
      </c>
      <c r="B21" s="12" t="s">
        <v>518</v>
      </c>
      <c r="C21" s="12" t="s">
        <v>519</v>
      </c>
      <c r="D21" s="8" t="s">
        <v>520</v>
      </c>
      <c r="E21" s="8" t="s">
        <v>521</v>
      </c>
      <c r="F21" s="12" t="s">
        <v>522</v>
      </c>
      <c r="G21" s="8" t="s">
        <v>523</v>
      </c>
      <c r="H21" s="8" t="s">
        <v>524</v>
      </c>
    </row>
    <row r="22" spans="1:8" ht="20.100000000000001" customHeight="1" x14ac:dyDescent="0.25">
      <c r="A22" s="9">
        <v>16</v>
      </c>
      <c r="B22" s="13" t="s">
        <v>525</v>
      </c>
      <c r="C22" s="13" t="s">
        <v>526</v>
      </c>
      <c r="D22" s="10" t="s">
        <v>527</v>
      </c>
      <c r="E22" s="10" t="s">
        <v>528</v>
      </c>
      <c r="F22" s="13" t="s">
        <v>529</v>
      </c>
      <c r="G22" s="10" t="s">
        <v>530</v>
      </c>
      <c r="H22" s="10" t="s">
        <v>531</v>
      </c>
    </row>
  </sheetData>
  <mergeCells count="1">
    <mergeCell ref="A4:H4"/>
  </mergeCells>
  <pageMargins left="0.75" right="0.75" top="1" bottom="1" header="0.5" footer="0.5"/>
  <pageSetup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zoomScaleNormal="100" workbookViewId="0">
      <selection activeCell="G1" sqref="G1:G1048576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30" customWidth="1"/>
    <col min="5" max="5" width="26" customWidth="1"/>
    <col min="6" max="6" width="20" customWidth="1"/>
    <col min="7" max="8" width="24" customWidth="1"/>
  </cols>
  <sheetData>
    <row r="1" spans="1:8" ht="18" x14ac:dyDescent="0.25">
      <c r="A1" s="1" t="s">
        <v>0</v>
      </c>
    </row>
    <row r="2" spans="1:8" x14ac:dyDescent="0.25">
      <c r="A2" s="2" t="s">
        <v>20</v>
      </c>
    </row>
    <row r="4" spans="1:8" ht="24" customHeight="1" x14ac:dyDescent="0.25">
      <c r="A4" s="24" t="s">
        <v>532</v>
      </c>
      <c r="B4" s="25"/>
      <c r="C4" s="25"/>
      <c r="D4" s="25"/>
      <c r="E4" s="25"/>
      <c r="F4" s="25"/>
      <c r="G4" s="25"/>
      <c r="H4" s="25"/>
    </row>
    <row r="6" spans="1:8" ht="26.1" customHeight="1" x14ac:dyDescent="0.25">
      <c r="A6" s="6" t="s">
        <v>7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</row>
    <row r="7" spans="1:8" ht="20.100000000000001" customHeight="1" x14ac:dyDescent="0.25">
      <c r="A7" s="7">
        <v>1</v>
      </c>
      <c r="B7" s="12" t="s">
        <v>533</v>
      </c>
      <c r="C7" s="12" t="s">
        <v>534</v>
      </c>
      <c r="D7" s="8" t="s">
        <v>535</v>
      </c>
      <c r="E7" s="8" t="s">
        <v>536</v>
      </c>
      <c r="F7" s="12" t="s">
        <v>537</v>
      </c>
      <c r="G7" s="8" t="s">
        <v>538</v>
      </c>
      <c r="H7" s="8" t="s">
        <v>539</v>
      </c>
    </row>
    <row r="8" spans="1:8" ht="20.100000000000001" customHeight="1" x14ac:dyDescent="0.25">
      <c r="A8" s="9">
        <v>2</v>
      </c>
      <c r="B8" s="13" t="s">
        <v>540</v>
      </c>
      <c r="C8" s="13" t="s">
        <v>541</v>
      </c>
      <c r="D8" s="10" t="s">
        <v>542</v>
      </c>
      <c r="E8" s="10" t="s">
        <v>543</v>
      </c>
      <c r="F8" s="13" t="s">
        <v>544</v>
      </c>
      <c r="G8" s="10" t="s">
        <v>545</v>
      </c>
      <c r="H8" s="10" t="s">
        <v>546</v>
      </c>
    </row>
    <row r="9" spans="1:8" ht="20.100000000000001" customHeight="1" x14ac:dyDescent="0.25">
      <c r="A9" s="7">
        <v>3</v>
      </c>
      <c r="B9" s="12" t="s">
        <v>547</v>
      </c>
      <c r="C9" s="12" t="s">
        <v>548</v>
      </c>
      <c r="D9" s="8" t="s">
        <v>549</v>
      </c>
      <c r="E9" s="8" t="s">
        <v>550</v>
      </c>
      <c r="F9" s="12" t="s">
        <v>551</v>
      </c>
      <c r="G9" s="8" t="s">
        <v>552</v>
      </c>
      <c r="H9" s="8" t="s">
        <v>553</v>
      </c>
    </row>
    <row r="10" spans="1:8" ht="20.100000000000001" customHeight="1" x14ac:dyDescent="0.25">
      <c r="A10" s="9">
        <v>4</v>
      </c>
      <c r="B10" s="13" t="s">
        <v>554</v>
      </c>
      <c r="C10" s="13" t="s">
        <v>555</v>
      </c>
      <c r="D10" s="10" t="s">
        <v>556</v>
      </c>
      <c r="E10" s="10" t="s">
        <v>557</v>
      </c>
      <c r="F10" s="13" t="s">
        <v>30</v>
      </c>
      <c r="G10" s="10" t="s">
        <v>30</v>
      </c>
      <c r="H10" s="10" t="s">
        <v>558</v>
      </c>
    </row>
    <row r="11" spans="1:8" ht="20.100000000000001" customHeight="1" x14ac:dyDescent="0.25">
      <c r="A11" s="7">
        <v>5</v>
      </c>
      <c r="B11" s="12" t="s">
        <v>559</v>
      </c>
      <c r="C11" s="12" t="s">
        <v>560</v>
      </c>
      <c r="D11" s="8" t="s">
        <v>561</v>
      </c>
      <c r="E11" s="8" t="s">
        <v>562</v>
      </c>
      <c r="F11" s="12" t="s">
        <v>563</v>
      </c>
      <c r="G11" s="8" t="s">
        <v>564</v>
      </c>
      <c r="H11" s="8" t="s">
        <v>565</v>
      </c>
    </row>
    <row r="12" spans="1:8" ht="20.100000000000001" customHeight="1" x14ac:dyDescent="0.25">
      <c r="A12" s="9">
        <v>6</v>
      </c>
      <c r="B12" s="13" t="s">
        <v>566</v>
      </c>
      <c r="C12" s="13" t="s">
        <v>567</v>
      </c>
      <c r="D12" s="10" t="s">
        <v>568</v>
      </c>
      <c r="E12" s="10" t="s">
        <v>569</v>
      </c>
      <c r="F12" s="13" t="s">
        <v>129</v>
      </c>
      <c r="G12" s="10" t="s">
        <v>130</v>
      </c>
      <c r="H12" s="10" t="s">
        <v>131</v>
      </c>
    </row>
    <row r="13" spans="1:8" ht="20.100000000000001" customHeight="1" x14ac:dyDescent="0.25">
      <c r="A13" s="7">
        <v>7</v>
      </c>
      <c r="B13" s="12" t="s">
        <v>570</v>
      </c>
      <c r="C13" s="12" t="s">
        <v>571</v>
      </c>
      <c r="D13" s="8" t="s">
        <v>572</v>
      </c>
      <c r="E13" s="8" t="s">
        <v>573</v>
      </c>
      <c r="F13" s="12" t="s">
        <v>574</v>
      </c>
      <c r="G13" s="8" t="s">
        <v>575</v>
      </c>
      <c r="H13" s="8" t="s">
        <v>59</v>
      </c>
    </row>
    <row r="14" spans="1:8" ht="20.100000000000001" customHeight="1" x14ac:dyDescent="0.25">
      <c r="A14" s="9">
        <v>8</v>
      </c>
      <c r="B14" s="13" t="s">
        <v>576</v>
      </c>
      <c r="C14" s="13" t="s">
        <v>577</v>
      </c>
      <c r="D14" s="10" t="s">
        <v>578</v>
      </c>
      <c r="E14" s="10" t="s">
        <v>579</v>
      </c>
      <c r="F14" s="13" t="s">
        <v>580</v>
      </c>
      <c r="G14" s="10" t="s">
        <v>581</v>
      </c>
      <c r="H14" s="10" t="s">
        <v>582</v>
      </c>
    </row>
    <row r="15" spans="1:8" ht="20.100000000000001" customHeight="1" x14ac:dyDescent="0.25">
      <c r="A15" s="7">
        <v>9</v>
      </c>
      <c r="B15" s="12" t="s">
        <v>583</v>
      </c>
      <c r="C15" s="12" t="s">
        <v>584</v>
      </c>
      <c r="D15" s="8" t="s">
        <v>585</v>
      </c>
      <c r="E15" s="8" t="s">
        <v>586</v>
      </c>
      <c r="F15" s="12" t="s">
        <v>587</v>
      </c>
      <c r="G15" s="8" t="s">
        <v>588</v>
      </c>
      <c r="H15" s="8" t="s">
        <v>589</v>
      </c>
    </row>
    <row r="16" spans="1:8" ht="20.100000000000001" customHeight="1" x14ac:dyDescent="0.25">
      <c r="A16" s="9">
        <v>10</v>
      </c>
      <c r="B16" s="13" t="s">
        <v>590</v>
      </c>
      <c r="C16" s="13" t="s">
        <v>591</v>
      </c>
      <c r="D16" s="10" t="s">
        <v>592</v>
      </c>
      <c r="E16" s="10" t="s">
        <v>593</v>
      </c>
      <c r="F16" s="13" t="s">
        <v>594</v>
      </c>
      <c r="G16" s="10" t="s">
        <v>595</v>
      </c>
      <c r="H16" s="10" t="s">
        <v>596</v>
      </c>
    </row>
    <row r="17" spans="1:8" ht="20.100000000000001" customHeight="1" x14ac:dyDescent="0.25">
      <c r="A17" s="7">
        <v>11</v>
      </c>
      <c r="B17" s="12" t="s">
        <v>597</v>
      </c>
      <c r="C17" s="12" t="s">
        <v>598</v>
      </c>
      <c r="D17" s="8" t="s">
        <v>599</v>
      </c>
      <c r="E17" s="8" t="s">
        <v>600</v>
      </c>
      <c r="F17" s="12" t="s">
        <v>601</v>
      </c>
      <c r="G17" s="8" t="s">
        <v>602</v>
      </c>
      <c r="H17" s="8" t="s">
        <v>603</v>
      </c>
    </row>
    <row r="18" spans="1:8" ht="20.100000000000001" customHeight="1" x14ac:dyDescent="0.25">
      <c r="A18" s="9">
        <v>12</v>
      </c>
      <c r="B18" s="13" t="s">
        <v>604</v>
      </c>
      <c r="C18" s="13" t="s">
        <v>605</v>
      </c>
      <c r="D18" s="10" t="s">
        <v>606</v>
      </c>
      <c r="E18" s="10" t="s">
        <v>607</v>
      </c>
      <c r="F18" s="13" t="s">
        <v>608</v>
      </c>
      <c r="G18" s="10" t="s">
        <v>609</v>
      </c>
      <c r="H18" s="10" t="s">
        <v>610</v>
      </c>
    </row>
    <row r="19" spans="1:8" ht="20.100000000000001" customHeight="1" x14ac:dyDescent="0.25">
      <c r="A19" s="7">
        <v>13</v>
      </c>
      <c r="B19" s="12" t="s">
        <v>611</v>
      </c>
      <c r="C19" s="12" t="s">
        <v>612</v>
      </c>
      <c r="D19" s="8" t="s">
        <v>613</v>
      </c>
      <c r="E19" s="8" t="s">
        <v>614</v>
      </c>
      <c r="F19" s="12" t="s">
        <v>615</v>
      </c>
      <c r="G19" s="8" t="s">
        <v>616</v>
      </c>
      <c r="H19" s="8" t="s">
        <v>617</v>
      </c>
    </row>
    <row r="20" spans="1:8" ht="20.100000000000001" customHeight="1" x14ac:dyDescent="0.25">
      <c r="A20" s="9">
        <v>14</v>
      </c>
      <c r="B20" s="13" t="s">
        <v>618</v>
      </c>
      <c r="C20" s="13" t="s">
        <v>619</v>
      </c>
      <c r="D20" s="10" t="s">
        <v>620</v>
      </c>
      <c r="E20" s="10" t="s">
        <v>621</v>
      </c>
      <c r="F20" s="13" t="s">
        <v>622</v>
      </c>
      <c r="G20" s="10" t="s">
        <v>623</v>
      </c>
      <c r="H20" s="10" t="s">
        <v>624</v>
      </c>
    </row>
    <row r="21" spans="1:8" ht="20.100000000000001" customHeight="1" x14ac:dyDescent="0.25">
      <c r="A21" s="7">
        <v>15</v>
      </c>
      <c r="B21" s="12" t="s">
        <v>625</v>
      </c>
      <c r="C21" s="12" t="s">
        <v>626</v>
      </c>
      <c r="D21" s="8" t="s">
        <v>627</v>
      </c>
      <c r="E21" s="8" t="s">
        <v>628</v>
      </c>
      <c r="F21" s="12" t="s">
        <v>629</v>
      </c>
      <c r="G21" s="8" t="s">
        <v>630</v>
      </c>
      <c r="H21" s="8" t="s">
        <v>386</v>
      </c>
    </row>
  </sheetData>
  <mergeCells count="1">
    <mergeCell ref="A4:H4"/>
  </mergeCells>
  <pageMargins left="0.75" right="0.75" top="1" bottom="1" header="0.5" footer="0.5"/>
  <pageSetup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zoomScaleNormal="100" workbookViewId="0">
      <selection activeCell="G1" sqref="G1:G1048576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30" customWidth="1"/>
    <col min="5" max="5" width="26" customWidth="1"/>
    <col min="6" max="6" width="20" customWidth="1"/>
    <col min="7" max="8" width="24" customWidth="1"/>
  </cols>
  <sheetData>
    <row r="1" spans="1:8" ht="18" x14ac:dyDescent="0.25">
      <c r="A1" s="1" t="s">
        <v>0</v>
      </c>
    </row>
    <row r="2" spans="1:8" x14ac:dyDescent="0.25">
      <c r="A2" s="2" t="s">
        <v>20</v>
      </c>
    </row>
    <row r="4" spans="1:8" ht="24" customHeight="1" x14ac:dyDescent="0.25">
      <c r="A4" s="24" t="s">
        <v>631</v>
      </c>
      <c r="B4" s="25"/>
      <c r="C4" s="25"/>
      <c r="D4" s="25"/>
      <c r="E4" s="25"/>
      <c r="F4" s="25"/>
      <c r="G4" s="25"/>
      <c r="H4" s="25"/>
    </row>
    <row r="6" spans="1:8" ht="26.1" customHeight="1" x14ac:dyDescent="0.25">
      <c r="A6" s="6" t="s">
        <v>7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</row>
    <row r="7" spans="1:8" ht="20.100000000000001" customHeight="1" x14ac:dyDescent="0.25">
      <c r="A7" s="7">
        <v>1</v>
      </c>
      <c r="B7" s="12" t="s">
        <v>632</v>
      </c>
      <c r="C7" s="12" t="s">
        <v>633</v>
      </c>
      <c r="D7" s="8" t="s">
        <v>634</v>
      </c>
      <c r="E7" s="8" t="s">
        <v>635</v>
      </c>
      <c r="F7" s="12" t="s">
        <v>30</v>
      </c>
      <c r="G7" s="8" t="s">
        <v>30</v>
      </c>
      <c r="H7" s="8" t="s">
        <v>35</v>
      </c>
    </row>
    <row r="8" spans="1:8" ht="20.100000000000001" customHeight="1" x14ac:dyDescent="0.25">
      <c r="A8" s="9">
        <v>2</v>
      </c>
      <c r="B8" s="13" t="s">
        <v>636</v>
      </c>
      <c r="C8" s="13" t="s">
        <v>637</v>
      </c>
      <c r="D8" s="10" t="s">
        <v>638</v>
      </c>
      <c r="E8" s="10" t="s">
        <v>639</v>
      </c>
      <c r="F8" s="13" t="s">
        <v>640</v>
      </c>
      <c r="G8" s="10" t="s">
        <v>641</v>
      </c>
      <c r="H8" s="10" t="s">
        <v>642</v>
      </c>
    </row>
    <row r="9" spans="1:8" ht="20.100000000000001" customHeight="1" x14ac:dyDescent="0.25">
      <c r="A9" s="7">
        <v>3</v>
      </c>
      <c r="B9" s="12" t="s">
        <v>643</v>
      </c>
      <c r="C9" s="12" t="s">
        <v>644</v>
      </c>
      <c r="D9" s="8" t="s">
        <v>645</v>
      </c>
      <c r="E9" s="8" t="s">
        <v>646</v>
      </c>
      <c r="F9" s="12" t="s">
        <v>647</v>
      </c>
      <c r="G9" s="8" t="s">
        <v>648</v>
      </c>
      <c r="H9" s="8" t="s">
        <v>649</v>
      </c>
    </row>
    <row r="10" spans="1:8" ht="20.100000000000001" customHeight="1" x14ac:dyDescent="0.25">
      <c r="A10" s="9">
        <v>4</v>
      </c>
      <c r="B10" s="13" t="s">
        <v>650</v>
      </c>
      <c r="C10" s="13" t="s">
        <v>651</v>
      </c>
      <c r="D10" s="10" t="s">
        <v>652</v>
      </c>
      <c r="E10" s="10" t="s">
        <v>653</v>
      </c>
      <c r="F10" s="13" t="s">
        <v>654</v>
      </c>
      <c r="G10" s="10" t="s">
        <v>655</v>
      </c>
      <c r="H10" s="10" t="s">
        <v>656</v>
      </c>
    </row>
    <row r="11" spans="1:8" ht="20.100000000000001" customHeight="1" x14ac:dyDescent="0.25">
      <c r="A11" s="7">
        <v>5</v>
      </c>
      <c r="B11" s="12" t="s">
        <v>657</v>
      </c>
      <c r="C11" s="12" t="s">
        <v>658</v>
      </c>
      <c r="D11" s="8" t="s">
        <v>659</v>
      </c>
      <c r="E11" s="8" t="s">
        <v>660</v>
      </c>
      <c r="F11" s="12" t="s">
        <v>661</v>
      </c>
      <c r="G11" s="8" t="s">
        <v>137</v>
      </c>
      <c r="H11" s="8" t="s">
        <v>662</v>
      </c>
    </row>
    <row r="12" spans="1:8" ht="20.100000000000001" customHeight="1" x14ac:dyDescent="0.25">
      <c r="A12" s="9">
        <v>6</v>
      </c>
      <c r="B12" s="13" t="s">
        <v>663</v>
      </c>
      <c r="C12" s="13" t="s">
        <v>664</v>
      </c>
      <c r="D12" s="10" t="s">
        <v>665</v>
      </c>
      <c r="E12" s="10" t="s">
        <v>666</v>
      </c>
      <c r="F12" s="13" t="s">
        <v>667</v>
      </c>
      <c r="G12" s="10" t="s">
        <v>668</v>
      </c>
      <c r="H12" s="10" t="s">
        <v>669</v>
      </c>
    </row>
    <row r="13" spans="1:8" ht="20.100000000000001" customHeight="1" x14ac:dyDescent="0.25">
      <c r="A13" s="7">
        <v>7</v>
      </c>
      <c r="B13" s="12" t="s">
        <v>670</v>
      </c>
      <c r="C13" s="12" t="s">
        <v>671</v>
      </c>
      <c r="D13" s="8" t="s">
        <v>672</v>
      </c>
      <c r="E13" s="8" t="s">
        <v>673</v>
      </c>
      <c r="F13" s="12" t="s">
        <v>674</v>
      </c>
      <c r="G13" s="8" t="s">
        <v>675</v>
      </c>
      <c r="H13" s="8" t="s">
        <v>676</v>
      </c>
    </row>
    <row r="14" spans="1:8" ht="20.100000000000001" customHeight="1" x14ac:dyDescent="0.25">
      <c r="A14" s="9">
        <v>8</v>
      </c>
      <c r="B14" s="13" t="s">
        <v>677</v>
      </c>
      <c r="C14" s="13" t="s">
        <v>678</v>
      </c>
      <c r="D14" s="10" t="s">
        <v>679</v>
      </c>
      <c r="E14" s="10" t="s">
        <v>680</v>
      </c>
      <c r="F14" s="13" t="s">
        <v>681</v>
      </c>
      <c r="G14" s="10" t="s">
        <v>682</v>
      </c>
      <c r="H14" s="10" t="s">
        <v>683</v>
      </c>
    </row>
    <row r="15" spans="1:8" ht="20.100000000000001" customHeight="1" x14ac:dyDescent="0.25">
      <c r="A15" s="7">
        <v>9</v>
      </c>
      <c r="B15" s="12" t="s">
        <v>684</v>
      </c>
      <c r="C15" s="12" t="s">
        <v>685</v>
      </c>
      <c r="D15" s="8" t="s">
        <v>686</v>
      </c>
      <c r="E15" s="8" t="s">
        <v>687</v>
      </c>
      <c r="F15" s="12" t="s">
        <v>30</v>
      </c>
      <c r="G15" s="8" t="s">
        <v>30</v>
      </c>
      <c r="H15" s="8" t="s">
        <v>498</v>
      </c>
    </row>
    <row r="16" spans="1:8" ht="20.100000000000001" customHeight="1" x14ac:dyDescent="0.25">
      <c r="A16" s="9">
        <v>10</v>
      </c>
      <c r="B16" s="13" t="s">
        <v>688</v>
      </c>
      <c r="C16" s="13" t="s">
        <v>689</v>
      </c>
      <c r="D16" s="10" t="s">
        <v>690</v>
      </c>
      <c r="E16" s="10" t="s">
        <v>691</v>
      </c>
      <c r="F16" s="13" t="s">
        <v>692</v>
      </c>
      <c r="G16" s="10" t="s">
        <v>693</v>
      </c>
      <c r="H16" s="10" t="s">
        <v>694</v>
      </c>
    </row>
  </sheetData>
  <mergeCells count="1">
    <mergeCell ref="A4:H4"/>
  </mergeCells>
  <pageMargins left="0.75" right="0.75" top="1" bottom="1" header="0.5" footer="0.5"/>
  <pageSetup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zoomScaleNormal="100" workbookViewId="0">
      <selection activeCell="G14" sqref="G14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30" customWidth="1"/>
    <col min="5" max="5" width="26" customWidth="1"/>
    <col min="6" max="6" width="20" customWidth="1"/>
    <col min="7" max="8" width="24" customWidth="1"/>
  </cols>
  <sheetData>
    <row r="1" spans="1:8" ht="18" x14ac:dyDescent="0.25">
      <c r="A1" s="1" t="s">
        <v>0</v>
      </c>
    </row>
    <row r="2" spans="1:8" x14ac:dyDescent="0.25">
      <c r="A2" s="2" t="s">
        <v>20</v>
      </c>
    </row>
    <row r="4" spans="1:8" ht="24" customHeight="1" x14ac:dyDescent="0.25">
      <c r="A4" s="24" t="s">
        <v>695</v>
      </c>
      <c r="B4" s="25"/>
      <c r="C4" s="25"/>
      <c r="D4" s="25"/>
      <c r="E4" s="25"/>
      <c r="F4" s="25"/>
      <c r="G4" s="25"/>
      <c r="H4" s="25"/>
    </row>
    <row r="6" spans="1:8" ht="26.1" customHeight="1" x14ac:dyDescent="0.25">
      <c r="A6" s="6" t="s">
        <v>7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</row>
    <row r="7" spans="1:8" ht="20.100000000000001" customHeight="1" x14ac:dyDescent="0.25">
      <c r="A7" s="7">
        <v>1</v>
      </c>
      <c r="B7" s="12" t="s">
        <v>696</v>
      </c>
      <c r="C7" s="12" t="s">
        <v>697</v>
      </c>
      <c r="D7" s="8" t="s">
        <v>698</v>
      </c>
      <c r="E7" s="8" t="s">
        <v>699</v>
      </c>
      <c r="F7" s="12" t="s">
        <v>30</v>
      </c>
      <c r="G7" s="8" t="s">
        <v>30</v>
      </c>
      <c r="H7" s="8" t="s">
        <v>700</v>
      </c>
    </row>
    <row r="8" spans="1:8" ht="20.100000000000001" customHeight="1" x14ac:dyDescent="0.25">
      <c r="A8" s="9">
        <v>2</v>
      </c>
      <c r="B8" s="13" t="s">
        <v>701</v>
      </c>
      <c r="C8" s="13" t="s">
        <v>702</v>
      </c>
      <c r="D8" s="10" t="s">
        <v>703</v>
      </c>
      <c r="E8" s="10" t="s">
        <v>704</v>
      </c>
      <c r="F8" s="13" t="s">
        <v>30</v>
      </c>
      <c r="G8" s="10" t="s">
        <v>30</v>
      </c>
      <c r="H8" s="10" t="s">
        <v>510</v>
      </c>
    </row>
    <row r="9" spans="1:8" ht="20.100000000000001" customHeight="1" x14ac:dyDescent="0.25">
      <c r="A9" s="7">
        <v>3</v>
      </c>
      <c r="B9" s="12" t="s">
        <v>705</v>
      </c>
      <c r="C9" s="12" t="s">
        <v>706</v>
      </c>
      <c r="D9" s="8" t="s">
        <v>707</v>
      </c>
      <c r="E9" s="8" t="s">
        <v>708</v>
      </c>
      <c r="F9" s="12" t="s">
        <v>30</v>
      </c>
      <c r="G9" s="8" t="s">
        <v>30</v>
      </c>
      <c r="H9" s="8" t="s">
        <v>709</v>
      </c>
    </row>
    <row r="10" spans="1:8" ht="20.100000000000001" customHeight="1" x14ac:dyDescent="0.25">
      <c r="A10" s="9">
        <v>4</v>
      </c>
      <c r="B10" s="13" t="s">
        <v>710</v>
      </c>
      <c r="C10" s="13" t="s">
        <v>711</v>
      </c>
      <c r="D10" s="10" t="s">
        <v>712</v>
      </c>
      <c r="E10" s="10" t="s">
        <v>713</v>
      </c>
      <c r="F10" s="13" t="s">
        <v>234</v>
      </c>
      <c r="G10" s="10" t="s">
        <v>235</v>
      </c>
      <c r="H10" s="10" t="s">
        <v>236</v>
      </c>
    </row>
    <row r="11" spans="1:8" ht="20.100000000000001" customHeight="1" x14ac:dyDescent="0.25">
      <c r="A11" s="7">
        <v>5</v>
      </c>
      <c r="B11" s="12" t="s">
        <v>714</v>
      </c>
      <c r="C11" s="12" t="s">
        <v>715</v>
      </c>
      <c r="D11" s="8" t="s">
        <v>716</v>
      </c>
      <c r="E11" s="8" t="s">
        <v>717</v>
      </c>
      <c r="F11" s="12" t="s">
        <v>344</v>
      </c>
      <c r="G11" s="8" t="s">
        <v>345</v>
      </c>
      <c r="H11" s="8" t="s">
        <v>718</v>
      </c>
    </row>
    <row r="12" spans="1:8" ht="20.100000000000001" customHeight="1" x14ac:dyDescent="0.25">
      <c r="A12" s="9">
        <v>6</v>
      </c>
      <c r="B12" s="13" t="s">
        <v>719</v>
      </c>
      <c r="C12" s="13" t="s">
        <v>720</v>
      </c>
      <c r="D12" s="10" t="s">
        <v>721</v>
      </c>
      <c r="E12" s="10" t="s">
        <v>722</v>
      </c>
      <c r="F12" s="13" t="s">
        <v>723</v>
      </c>
      <c r="G12" s="10" t="s">
        <v>724</v>
      </c>
      <c r="H12" s="10" t="s">
        <v>391</v>
      </c>
    </row>
    <row r="13" spans="1:8" ht="20.100000000000001" customHeight="1" x14ac:dyDescent="0.25">
      <c r="A13" s="7">
        <v>7</v>
      </c>
      <c r="B13" s="12" t="s">
        <v>725</v>
      </c>
      <c r="C13" s="12" t="s">
        <v>726</v>
      </c>
      <c r="D13" s="8" t="s">
        <v>727</v>
      </c>
      <c r="E13" s="8" t="s">
        <v>728</v>
      </c>
      <c r="F13" s="12" t="s">
        <v>30</v>
      </c>
      <c r="G13" s="8" t="s">
        <v>30</v>
      </c>
      <c r="H13" s="8" t="s">
        <v>729</v>
      </c>
    </row>
    <row r="14" spans="1:8" ht="20.100000000000001" customHeight="1" x14ac:dyDescent="0.25">
      <c r="A14" s="9">
        <v>8</v>
      </c>
      <c r="B14" s="13" t="s">
        <v>730</v>
      </c>
      <c r="C14" s="13" t="s">
        <v>731</v>
      </c>
      <c r="D14" s="10" t="s">
        <v>732</v>
      </c>
      <c r="E14" s="10" t="s">
        <v>733</v>
      </c>
      <c r="F14" s="13" t="s">
        <v>30</v>
      </c>
      <c r="G14" s="10" t="s">
        <v>30</v>
      </c>
      <c r="H14" s="10" t="s">
        <v>734</v>
      </c>
    </row>
    <row r="15" spans="1:8" ht="20.100000000000001" customHeight="1" x14ac:dyDescent="0.25">
      <c r="A15" s="7">
        <v>9</v>
      </c>
      <c r="B15" s="12" t="s">
        <v>735</v>
      </c>
      <c r="C15" s="12" t="s">
        <v>736</v>
      </c>
      <c r="D15" s="8" t="s">
        <v>737</v>
      </c>
      <c r="E15" s="8" t="s">
        <v>738</v>
      </c>
      <c r="F15" s="12" t="s">
        <v>432</v>
      </c>
      <c r="G15" s="8" t="s">
        <v>433</v>
      </c>
      <c r="H15" s="8" t="s">
        <v>434</v>
      </c>
    </row>
    <row r="16" spans="1:8" ht="20.100000000000001" customHeight="1" x14ac:dyDescent="0.25">
      <c r="A16" s="9">
        <v>10</v>
      </c>
      <c r="B16" s="13" t="s">
        <v>739</v>
      </c>
      <c r="C16" s="13" t="s">
        <v>740</v>
      </c>
      <c r="D16" s="10" t="s">
        <v>741</v>
      </c>
      <c r="E16" s="10" t="s">
        <v>742</v>
      </c>
      <c r="F16" s="13" t="s">
        <v>30</v>
      </c>
      <c r="G16" s="10" t="s">
        <v>30</v>
      </c>
      <c r="H16" s="10" t="s">
        <v>743</v>
      </c>
    </row>
    <row r="17" spans="1:8" ht="20.100000000000001" customHeight="1" x14ac:dyDescent="0.25">
      <c r="A17" s="7">
        <v>11</v>
      </c>
      <c r="B17" s="12" t="s">
        <v>744</v>
      </c>
      <c r="C17" s="12" t="s">
        <v>745</v>
      </c>
      <c r="D17" s="8" t="s">
        <v>746</v>
      </c>
      <c r="E17" s="8" t="s">
        <v>747</v>
      </c>
      <c r="F17" s="12" t="s">
        <v>30</v>
      </c>
      <c r="G17" s="8" t="s">
        <v>30</v>
      </c>
      <c r="H17" s="8" t="s">
        <v>748</v>
      </c>
    </row>
    <row r="18" spans="1:8" ht="20.100000000000001" customHeight="1" x14ac:dyDescent="0.25">
      <c r="A18" s="9">
        <v>12</v>
      </c>
      <c r="B18" s="13" t="s">
        <v>749</v>
      </c>
      <c r="C18" s="13" t="s">
        <v>750</v>
      </c>
      <c r="D18" s="10" t="s">
        <v>751</v>
      </c>
      <c r="E18" s="10" t="s">
        <v>752</v>
      </c>
      <c r="F18" s="13" t="s">
        <v>30</v>
      </c>
      <c r="G18" s="10" t="s">
        <v>30</v>
      </c>
      <c r="H18" s="10" t="s">
        <v>753</v>
      </c>
    </row>
    <row r="19" spans="1:8" ht="20.100000000000001" customHeight="1" x14ac:dyDescent="0.25">
      <c r="A19" s="7">
        <v>13</v>
      </c>
      <c r="B19" s="12" t="s">
        <v>754</v>
      </c>
      <c r="C19" s="12" t="s">
        <v>755</v>
      </c>
      <c r="D19" s="8" t="s">
        <v>756</v>
      </c>
      <c r="E19" s="8" t="s">
        <v>757</v>
      </c>
      <c r="F19" s="12" t="s">
        <v>758</v>
      </c>
      <c r="G19" s="8" t="s">
        <v>759</v>
      </c>
      <c r="H19" s="8" t="s">
        <v>760</v>
      </c>
    </row>
    <row r="20" spans="1:8" ht="20.100000000000001" customHeight="1" x14ac:dyDescent="0.25">
      <c r="A20" s="9">
        <v>14</v>
      </c>
      <c r="B20" s="13" t="s">
        <v>761</v>
      </c>
      <c r="C20" s="13" t="s">
        <v>762</v>
      </c>
      <c r="D20" s="10" t="s">
        <v>763</v>
      </c>
      <c r="E20" s="10" t="s">
        <v>764</v>
      </c>
      <c r="F20" s="13" t="s">
        <v>765</v>
      </c>
      <c r="G20" s="10" t="s">
        <v>766</v>
      </c>
      <c r="H20" s="10" t="s">
        <v>767</v>
      </c>
    </row>
    <row r="21" spans="1:8" ht="20.100000000000001" customHeight="1" x14ac:dyDescent="0.25">
      <c r="A21" s="7">
        <v>15</v>
      </c>
      <c r="B21" s="12" t="s">
        <v>768</v>
      </c>
      <c r="C21" s="12" t="s">
        <v>769</v>
      </c>
      <c r="D21" s="8" t="s">
        <v>770</v>
      </c>
      <c r="E21" s="8" t="s">
        <v>771</v>
      </c>
      <c r="F21" s="12" t="s">
        <v>772</v>
      </c>
      <c r="G21" s="8" t="s">
        <v>773</v>
      </c>
      <c r="H21" s="8" t="s">
        <v>774</v>
      </c>
    </row>
    <row r="22" spans="1:8" ht="20.100000000000001" customHeight="1" x14ac:dyDescent="0.25">
      <c r="A22" s="9">
        <v>16</v>
      </c>
      <c r="B22" s="13" t="s">
        <v>775</v>
      </c>
      <c r="C22" s="13" t="s">
        <v>776</v>
      </c>
      <c r="D22" s="10" t="s">
        <v>777</v>
      </c>
      <c r="E22" s="10" t="s">
        <v>778</v>
      </c>
      <c r="F22" s="13" t="s">
        <v>779</v>
      </c>
      <c r="G22" s="10" t="s">
        <v>780</v>
      </c>
      <c r="H22" s="10" t="s">
        <v>781</v>
      </c>
    </row>
    <row r="23" spans="1:8" ht="20.100000000000001" customHeight="1" x14ac:dyDescent="0.25">
      <c r="A23" s="7">
        <v>17</v>
      </c>
      <c r="B23" s="12" t="s">
        <v>782</v>
      </c>
      <c r="C23" s="12" t="s">
        <v>783</v>
      </c>
      <c r="D23" s="8" t="s">
        <v>784</v>
      </c>
      <c r="E23" s="8" t="s">
        <v>778</v>
      </c>
      <c r="F23" s="12" t="s">
        <v>779</v>
      </c>
      <c r="G23" s="8" t="s">
        <v>780</v>
      </c>
      <c r="H23" s="8" t="s">
        <v>781</v>
      </c>
    </row>
  </sheetData>
  <mergeCells count="1">
    <mergeCell ref="A4:H4"/>
  </mergeCells>
  <pageMargins left="0.75" right="0.75" top="1" bottom="1" header="0.5" footer="0.5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REKAP JUMLAH SISWA</vt:lpstr>
      <vt:lpstr>REKAP ALL KELAS</vt:lpstr>
      <vt:lpstr>KELAS 1</vt:lpstr>
      <vt:lpstr>KELAS 2</vt:lpstr>
      <vt:lpstr>KELAS 3</vt:lpstr>
      <vt:lpstr>KELAS 4A</vt:lpstr>
      <vt:lpstr>KELAS 4B</vt:lpstr>
      <vt:lpstr>KELAS 5</vt:lpstr>
      <vt:lpstr>KELAS 6</vt:lpstr>
      <vt:lpstr>'REKAP JUMLAH SISWA'!Print_Area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edo domakubun</cp:lastModifiedBy>
  <cp:lastPrinted>2026-07-21T14:22:12Z</cp:lastPrinted>
  <dcterms:created xsi:type="dcterms:W3CDTF">2026-07-21T14:09:02Z</dcterms:created>
  <dcterms:modified xsi:type="dcterms:W3CDTF">2026-07-22T16:10:10Z</dcterms:modified>
</cp:coreProperties>
</file>